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_Production_Data" sheetId="1" r:id="rId4"/>
    <sheet state="visible" name="Economic Inputs Parameters" sheetId="2" r:id="rId5"/>
    <sheet state="visible" name="DCA_Forecast_Model" sheetId="3" r:id="rId6"/>
    <sheet state="visible" name="Cash Flow Model" sheetId="4" r:id="rId7"/>
    <sheet state="visible" name="Nodal Analysis Calculations" sheetId="5" r:id="rId8"/>
    <sheet state="visible" name="Scenario_Analysis" sheetId="6" r:id="rId9"/>
  </sheets>
  <definedNames/>
  <calcPr/>
  <extLst>
    <ext uri="GoogleSheetsCustomDataVersion2">
      <go:sheetsCustomData xmlns:go="http://customooxmlschemas.google.com/" r:id="rId10" roundtripDataChecksum="JhdM6S+2zNhG00L6uCBNMfahvckTWKAjI54X52za5W8="/>
    </ext>
  </extLst>
</workbook>
</file>

<file path=xl/sharedStrings.xml><?xml version="1.0" encoding="utf-8"?>
<sst xmlns="http://schemas.openxmlformats.org/spreadsheetml/2006/main" count="543" uniqueCount="529">
  <si>
    <t>Date</t>
  </si>
  <si>
    <t>Oil (BBL)</t>
  </si>
  <si>
    <t>Casinghead (MCF)</t>
  </si>
  <si>
    <t>GW Gas (MCF)</t>
  </si>
  <si>
    <t>Condensate (BBL)</t>
  </si>
  <si>
    <t>TIME</t>
  </si>
  <si>
    <t>Parameter</t>
  </si>
  <si>
    <t>Value</t>
  </si>
  <si>
    <t>Unit</t>
  </si>
  <si>
    <t>Source/Assumption</t>
  </si>
  <si>
    <t>Gas Price ($/MCF)</t>
  </si>
  <si>
    <t>$/MCF</t>
  </si>
  <si>
    <t>Market reference (EIA)/Assumed</t>
  </si>
  <si>
    <t xml:space="preserve">Oil Price ($/BBL) </t>
  </si>
  <si>
    <t>$/BBL</t>
  </si>
  <si>
    <t>Market reference /Assumed</t>
  </si>
  <si>
    <t>Monthly OpEx ($)</t>
  </si>
  <si>
    <t>$/month</t>
  </si>
  <si>
    <t>Assumed Industry Average</t>
  </si>
  <si>
    <t>Mensal Discount Rate</t>
  </si>
  <si>
    <t>Equivalent to 10% Annual Discount</t>
  </si>
  <si>
    <t>Capex</t>
  </si>
  <si>
    <t>$</t>
  </si>
  <si>
    <t>Initial Investment ( Assumed)</t>
  </si>
  <si>
    <t>Cell Reference</t>
  </si>
  <si>
    <t>qi_Gas</t>
  </si>
  <si>
    <t>MCF/month</t>
  </si>
  <si>
    <t>$G$2</t>
  </si>
  <si>
    <t>Di Gas</t>
  </si>
  <si>
    <t>1/month</t>
  </si>
  <si>
    <t>$G$3</t>
  </si>
  <si>
    <t xml:space="preserve">Condensate 
Factor </t>
  </si>
  <si>
    <t>MCF/BBL</t>
  </si>
  <si>
    <t>$G$4</t>
  </si>
  <si>
    <t>Historical Gas Production (MCF)</t>
  </si>
  <si>
    <t>Historical Condensate Production (BBL)</t>
  </si>
  <si>
    <t>Projected Gas Production (MCF)</t>
  </si>
  <si>
    <t>Projected OIL Production (BBL)</t>
  </si>
  <si>
    <t>Total Gas Production (MCF)</t>
  </si>
  <si>
    <t>Total Oil Production (BBL)</t>
  </si>
  <si>
    <t>EUR GAS
(MCF)</t>
  </si>
  <si>
    <t>EUR OIL
(BBL)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</si>
  <si>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</si>
  <si>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</si>
  <si>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</si>
  <si>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</si>
  <si>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</si>
  <si>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</si>
  <si>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</si>
  <si>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</si>
  <si>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</si>
  <si>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</si>
  <si>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</si>
  <si>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</si>
  <si>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</si>
  <si>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</si>
  <si>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</si>
  <si>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</si>
  <si>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</si>
  <si>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</si>
  <si>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</si>
  <si>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</si>
  <si>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</si>
  <si>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</si>
  <si>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</si>
  <si>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</si>
  <si>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</si>
  <si>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</si>
  <si>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</si>
  <si>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</si>
  <si>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</si>
  <si>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</si>
  <si>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</si>
  <si>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</si>
  <si>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</si>
  <si>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</si>
  <si>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</si>
  <si>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</si>
  <si>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</si>
  <si>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</si>
  <si>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</si>
  <si>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</si>
  <si>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</si>
  <si>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</si>
  <si>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</si>
  <si>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</si>
  <si>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</si>
  <si>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</si>
  <si>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</si>
  <si>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</si>
  <si>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</si>
  <si>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</si>
  <si>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</si>
  <si>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</si>
  <si>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</si>
  <si>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</si>
  <si>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</si>
  <si>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</si>
  <si>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</si>
  <si>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</si>
  <si>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</si>
  <si>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</si>
  <si>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</si>
  <si>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</si>
  <si>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</si>
  <si>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</si>
  <si>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</si>
  <si>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</si>
  <si>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</si>
  <si>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</si>
  <si>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</si>
  <si>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</si>
  <si>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</si>
  <si>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</si>
  <si>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</si>
  <si>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</si>
  <si>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</si>
  <si>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</si>
  <si>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</si>
  <si>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</si>
  <si>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</si>
  <si>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</si>
  <si>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</si>
  <si>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</si>
  <si>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</si>
  <si>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</si>
  <si>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</si>
  <si>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</si>
  <si>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</si>
  <si>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</si>
  <si>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</si>
  <si>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</si>
  <si>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</si>
  <si>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</si>
  <si>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</si>
  <si>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</si>
  <si>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</si>
  <si>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</si>
  <si>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</si>
  <si>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</si>
  <si>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</si>
  <si>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</si>
  <si>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</si>
  <si>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</si>
  <si>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</si>
  <si>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</si>
  <si>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</si>
  <si>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</si>
  <si>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</si>
  <si>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</si>
  <si>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</si>
  <si>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</si>
  <si>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</si>
  <si>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</si>
  <si>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</si>
  <si>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</si>
  <si>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</si>
  <si>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</si>
  <si>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</si>
  <si>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</si>
  <si>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</si>
  <si>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</si>
  <si>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</si>
  <si>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</si>
  <si>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</si>
  <si>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Apr 2028</t>
  </si>
  <si>
    <t>May 2028</t>
  </si>
  <si>
    <t>Jun 2028</t>
  </si>
  <si>
    <t>Jul 2028</t>
  </si>
  <si>
    <t>Aug 2028</t>
  </si>
  <si>
    <t>Sep 2028</t>
  </si>
  <si>
    <t>Oct 2028</t>
  </si>
  <si>
    <t>Nov 2028</t>
  </si>
  <si>
    <t>Dec 2028</t>
  </si>
  <si>
    <t>Jan 2029</t>
  </si>
  <si>
    <t>Feb 2029</t>
  </si>
  <si>
    <t>Mar 2029</t>
  </si>
  <si>
    <t>Apr 2029</t>
  </si>
  <si>
    <t>May 2029</t>
  </si>
  <si>
    <t>Jun 2029</t>
  </si>
  <si>
    <t>Jul 2029</t>
  </si>
  <si>
    <t>Aug 2029</t>
  </si>
  <si>
    <t>Sep 2029</t>
  </si>
  <si>
    <t>Oct 2029</t>
  </si>
  <si>
    <t>Nov 2029</t>
  </si>
  <si>
    <t>Dec 2029</t>
  </si>
  <si>
    <t>Jan 2030</t>
  </si>
  <si>
    <t>Feb 2030</t>
  </si>
  <si>
    <t>Mar 2030</t>
  </si>
  <si>
    <t>Apr 2030</t>
  </si>
  <si>
    <t>May 2030</t>
  </si>
  <si>
    <t>Jun 2030</t>
  </si>
  <si>
    <t>Jul 2030</t>
  </si>
  <si>
    <t>Aug 2030</t>
  </si>
  <si>
    <t>Sep 2030</t>
  </si>
  <si>
    <t>Oct 2030</t>
  </si>
  <si>
    <t>Nov 2030</t>
  </si>
  <si>
    <t>Dec 2030</t>
  </si>
  <si>
    <t>Jan 2031</t>
  </si>
  <si>
    <t>Feb 2031</t>
  </si>
  <si>
    <t>Mar 2031</t>
  </si>
  <si>
    <t>Apr 2031</t>
  </si>
  <si>
    <t>May 2031</t>
  </si>
  <si>
    <t>Jun 2031</t>
  </si>
  <si>
    <t>Jul 2031</t>
  </si>
  <si>
    <t>Aug 2031</t>
  </si>
  <si>
    <t>Sep 2031</t>
  </si>
  <si>
    <t>Oct 2031</t>
  </si>
  <si>
    <t>Nov 2031</t>
  </si>
  <si>
    <t>Dec 2031</t>
  </si>
  <si>
    <t>Jan 2032</t>
  </si>
  <si>
    <t>Feb 2032</t>
  </si>
  <si>
    <t>Mar 2032</t>
  </si>
  <si>
    <t>Apr 2032</t>
  </si>
  <si>
    <t>May 2032</t>
  </si>
  <si>
    <t>Jun 2032</t>
  </si>
  <si>
    <t>Jul 2032</t>
  </si>
  <si>
    <t>Aug 2032</t>
  </si>
  <si>
    <t>Sep 2032</t>
  </si>
  <si>
    <t>Oct 2032</t>
  </si>
  <si>
    <t>Nov 2032</t>
  </si>
  <si>
    <t>Dec 2032</t>
  </si>
  <si>
    <t>Jan 2033</t>
  </si>
  <si>
    <t>Feb 2033</t>
  </si>
  <si>
    <t>Mar 2033</t>
  </si>
  <si>
    <t>Apr 2033</t>
  </si>
  <si>
    <t>May 2033</t>
  </si>
  <si>
    <t>Jun 2033</t>
  </si>
  <si>
    <t>Jul 2033</t>
  </si>
  <si>
    <t>Aug 2033</t>
  </si>
  <si>
    <t>Sep 2033</t>
  </si>
  <si>
    <t>Oct 2033</t>
  </si>
  <si>
    <t>Nov 2033</t>
  </si>
  <si>
    <t>Dec 2033</t>
  </si>
  <si>
    <t>Jan 2034</t>
  </si>
  <si>
    <t>Feb 2034</t>
  </si>
  <si>
    <t>Mar 2034</t>
  </si>
  <si>
    <t>Apr 2034</t>
  </si>
  <si>
    <t>May 2034</t>
  </si>
  <si>
    <t>Jun 2034</t>
  </si>
  <si>
    <t>Jul 2034</t>
  </si>
  <si>
    <t>Aug 2034</t>
  </si>
  <si>
    <t>Sep 2034</t>
  </si>
  <si>
    <t>Oct 2034</t>
  </si>
  <si>
    <t>Nov 2034</t>
  </si>
  <si>
    <t>Dec 2034</t>
  </si>
  <si>
    <t>Jan 2035</t>
  </si>
  <si>
    <t>Feb 2035</t>
  </si>
  <si>
    <t>Mar 2035</t>
  </si>
  <si>
    <t>Apr 2035</t>
  </si>
  <si>
    <t>May 2035</t>
  </si>
  <si>
    <t>Jun 2035</t>
  </si>
  <si>
    <t>Jul 2035</t>
  </si>
  <si>
    <t>Aug 2035</t>
  </si>
  <si>
    <t>Sep 2035</t>
  </si>
  <si>
    <t>Oct 2035</t>
  </si>
  <si>
    <t>Nov 2035</t>
  </si>
  <si>
    <t>Dec 2035</t>
  </si>
  <si>
    <t>Jan 2036</t>
  </si>
  <si>
    <t>Feb 2036</t>
  </si>
  <si>
    <t>Mar 2036</t>
  </si>
  <si>
    <t>Apr 2036</t>
  </si>
  <si>
    <t>May 2036</t>
  </si>
  <si>
    <t>Jun 2036</t>
  </si>
  <si>
    <t>Jul 2036</t>
  </si>
  <si>
    <t>Aug 2036</t>
  </si>
  <si>
    <t>Sep 2036</t>
  </si>
  <si>
    <t>Oct 2036</t>
  </si>
  <si>
    <t>Nov 2036</t>
  </si>
  <si>
    <t>Dec 2036</t>
  </si>
  <si>
    <t>Jan 2037</t>
  </si>
  <si>
    <t>Feb 2037</t>
  </si>
  <si>
    <t>Mar 2037</t>
  </si>
  <si>
    <t>Apr 2037</t>
  </si>
  <si>
    <t>May 2037</t>
  </si>
  <si>
    <t>Jun 2037</t>
  </si>
  <si>
    <t>Jul 2037</t>
  </si>
  <si>
    <t>Aug 2037</t>
  </si>
  <si>
    <t>Sep 2037</t>
  </si>
  <si>
    <t>Oct 2037</t>
  </si>
  <si>
    <t>Nov 2037</t>
  </si>
  <si>
    <t>Dec 2037</t>
  </si>
  <si>
    <t>Jan 2038</t>
  </si>
  <si>
    <t>Feb 2038</t>
  </si>
  <si>
    <t>Mar 2038</t>
  </si>
  <si>
    <t>Apr 2038</t>
  </si>
  <si>
    <t>May 2038</t>
  </si>
  <si>
    <t>Jun 2038</t>
  </si>
  <si>
    <t>Jul 2038</t>
  </si>
  <si>
    <t>Aug 2038</t>
  </si>
  <si>
    <t>Sep 2038</t>
  </si>
  <si>
    <t>Oct 2038</t>
  </si>
  <si>
    <t>Nov 2038</t>
  </si>
  <si>
    <t>Dec 2038</t>
  </si>
  <si>
    <t>Jan 2039</t>
  </si>
  <si>
    <t>Feb 2039</t>
  </si>
  <si>
    <t>Mar 2039</t>
  </si>
  <si>
    <t>Apr 2039</t>
  </si>
  <si>
    <t>May 2039</t>
  </si>
  <si>
    <t>Jun 2039</t>
  </si>
  <si>
    <t>Jul 2039</t>
  </si>
  <si>
    <t>Aug 2039</t>
  </si>
  <si>
    <t>Sep 2039</t>
  </si>
  <si>
    <t>Oct 2039</t>
  </si>
  <si>
    <t>Nov 2039</t>
  </si>
  <si>
    <t>Dec 2039</t>
  </si>
  <si>
    <t>Jan 2040</t>
  </si>
  <si>
    <t>Feb 2040</t>
  </si>
  <si>
    <t>Mar 2040</t>
  </si>
  <si>
    <t>Apr 2040</t>
  </si>
  <si>
    <t>May 2040</t>
  </si>
  <si>
    <t>Jun 2040</t>
  </si>
  <si>
    <t>Jul 2040</t>
  </si>
  <si>
    <t>Aug 2040</t>
  </si>
  <si>
    <t>Sep 2040</t>
  </si>
  <si>
    <t>Oct 2040</t>
  </si>
  <si>
    <t>Nov 2040</t>
  </si>
  <si>
    <t>Dec 2040</t>
  </si>
  <si>
    <t>Jan 2041</t>
  </si>
  <si>
    <t>Feb 2041</t>
  </si>
  <si>
    <t>Mar 2041</t>
  </si>
  <si>
    <t>Apr 2041</t>
  </si>
  <si>
    <t>May 2041</t>
  </si>
  <si>
    <t>Jun 2041</t>
  </si>
  <si>
    <t>Jul 2041</t>
  </si>
  <si>
    <t>Aug 2041</t>
  </si>
  <si>
    <t>Sep 2041</t>
  </si>
  <si>
    <t>Oct 2041</t>
  </si>
  <si>
    <t>Nov 2041</t>
  </si>
  <si>
    <t>Dec 2041</t>
  </si>
  <si>
    <t>Jan 2042</t>
  </si>
  <si>
    <t>Feb 2042</t>
  </si>
  <si>
    <t>Mar 2042</t>
  </si>
  <si>
    <t>Apr 2042</t>
  </si>
  <si>
    <t>May 2042</t>
  </si>
  <si>
    <t>Jun 2042</t>
  </si>
  <si>
    <t>Jul 2042</t>
  </si>
  <si>
    <t>Aug 2042</t>
  </si>
  <si>
    <t>Sep 2042</t>
  </si>
  <si>
    <t>Oct 2042</t>
  </si>
  <si>
    <t>Nov 2042</t>
  </si>
  <si>
    <t>Dec 2042</t>
  </si>
  <si>
    <t>Jan 2043</t>
  </si>
  <si>
    <t>Feb 2043</t>
  </si>
  <si>
    <t>Mar 2043</t>
  </si>
  <si>
    <t>Apr 2043</t>
  </si>
  <si>
    <t>May 2043</t>
  </si>
  <si>
    <t>Jun 2043</t>
  </si>
  <si>
    <t>Jul 2043</t>
  </si>
  <si>
    <t>Aug 2043</t>
  </si>
  <si>
    <t>Sep 2043</t>
  </si>
  <si>
    <t>Oct 2043</t>
  </si>
  <si>
    <t>Nov 2043</t>
  </si>
  <si>
    <t>Dec 2043</t>
  </si>
  <si>
    <t>Jan 2044</t>
  </si>
  <si>
    <t>Feb 2044</t>
  </si>
  <si>
    <t>Mar 2044</t>
  </si>
  <si>
    <t>Apr 2044</t>
  </si>
  <si>
    <t>May 2044</t>
  </si>
  <si>
    <t>Jun 2044</t>
  </si>
  <si>
    <t>Jul 2044</t>
  </si>
  <si>
    <t>Aug 2044</t>
  </si>
  <si>
    <t>Sep 2044</t>
  </si>
  <si>
    <t>Oct 2044</t>
  </si>
  <si>
    <t>Nov 2044</t>
  </si>
  <si>
    <t>Dec 2044</t>
  </si>
  <si>
    <t>Jan 2045</t>
  </si>
  <si>
    <t>Feb 2045</t>
  </si>
  <si>
    <t>Mar 2045</t>
  </si>
  <si>
    <t>Apr 2045</t>
  </si>
  <si>
    <t>May 2045</t>
  </si>
  <si>
    <t>Jun 2045</t>
  </si>
  <si>
    <t>Jul 2045</t>
  </si>
  <si>
    <t>Aug 2045</t>
  </si>
  <si>
    <t>Sep 2045</t>
  </si>
  <si>
    <t>Oct 2045</t>
  </si>
  <si>
    <t>Nov 2045</t>
  </si>
  <si>
    <t>Dec 2045</t>
  </si>
  <si>
    <t>Jan 2046</t>
  </si>
  <si>
    <t>Feb 2046</t>
  </si>
  <si>
    <t>Mar 2046</t>
  </si>
  <si>
    <t>Apr 2046</t>
  </si>
  <si>
    <t>May 2046</t>
  </si>
  <si>
    <t>Jun 2046</t>
  </si>
  <si>
    <t>Jul 2046</t>
  </si>
  <si>
    <t>Aug 2046</t>
  </si>
  <si>
    <t>Sep 2046</t>
  </si>
  <si>
    <t>Oct 2046</t>
  </si>
  <si>
    <t>Nov 2046</t>
  </si>
  <si>
    <t>Dec 2046</t>
  </si>
  <si>
    <t>Jan 2047</t>
  </si>
  <si>
    <t>Feb 2047</t>
  </si>
  <si>
    <t>Mar 2047</t>
  </si>
  <si>
    <t>Apr 2047</t>
  </si>
  <si>
    <t>May 2047</t>
  </si>
  <si>
    <t>Jun 2047</t>
  </si>
  <si>
    <t>Jul 2047</t>
  </si>
  <si>
    <t>Aug 2047</t>
  </si>
  <si>
    <t>Sep 2047</t>
  </si>
  <si>
    <t>Oct 2047</t>
  </si>
  <si>
    <t>Nov 2047</t>
  </si>
  <si>
    <t>Dec 2047</t>
  </si>
  <si>
    <t>Jan 2048</t>
  </si>
  <si>
    <t>Feb 2048</t>
  </si>
  <si>
    <t>Mar 2048</t>
  </si>
  <si>
    <t>Apr 2048</t>
  </si>
  <si>
    <t>May 2048</t>
  </si>
  <si>
    <t>Jun 2048</t>
  </si>
  <si>
    <t>Jul 2048</t>
  </si>
  <si>
    <t>Aug 2048</t>
  </si>
  <si>
    <t>Sep 2048</t>
  </si>
  <si>
    <t>Oct 2048</t>
  </si>
  <si>
    <t>Nov 2048</t>
  </si>
  <si>
    <t>Dec 2048</t>
  </si>
  <si>
    <t>Jan 2049</t>
  </si>
  <si>
    <t>Feb 2049</t>
  </si>
  <si>
    <t>Mar 2049</t>
  </si>
  <si>
    <t>Apr 2049</t>
  </si>
  <si>
    <t>May 2049</t>
  </si>
  <si>
    <t>Jun 2049</t>
  </si>
  <si>
    <t>Jul 2049</t>
  </si>
  <si>
    <t>Aug 2049</t>
  </si>
  <si>
    <t>Sep 2049</t>
  </si>
  <si>
    <t>Oct 2049</t>
  </si>
  <si>
    <t>Nov 2049</t>
  </si>
  <si>
    <t>Dec 2049</t>
  </si>
  <si>
    <t>Jan 2050</t>
  </si>
  <si>
    <t>Feb 2050</t>
  </si>
  <si>
    <t>Mar 2050</t>
  </si>
  <si>
    <t>Apr 2050</t>
  </si>
  <si>
    <t>May 2050</t>
  </si>
  <si>
    <t>Jun 2050</t>
  </si>
  <si>
    <t>Jul 2050</t>
  </si>
  <si>
    <t>Aug 2050</t>
  </si>
  <si>
    <t>Sep 2050</t>
  </si>
  <si>
    <t>Oct 2050</t>
  </si>
  <si>
    <t>Nov 2050</t>
  </si>
  <si>
    <t>Dec 2050</t>
  </si>
  <si>
    <t>Jan 2051</t>
  </si>
  <si>
    <t>Feb 2051</t>
  </si>
  <si>
    <t>Mar 2051</t>
  </si>
  <si>
    <t>Apr 2051</t>
  </si>
  <si>
    <t>May 2051</t>
  </si>
  <si>
    <t>Jun 2051</t>
  </si>
  <si>
    <t>Jul 2051</t>
  </si>
  <si>
    <t>Aug 2051</t>
  </si>
  <si>
    <t>Sep 2051</t>
  </si>
  <si>
    <t>Oct 2051</t>
  </si>
  <si>
    <t>Nov 2051</t>
  </si>
  <si>
    <t>Dec 2051</t>
  </si>
  <si>
    <t>Jan 2052</t>
  </si>
  <si>
    <t>Feb 2052</t>
  </si>
  <si>
    <t>Mar 2052</t>
  </si>
  <si>
    <t>Apr 2052</t>
  </si>
  <si>
    <t>May 2052</t>
  </si>
  <si>
    <t>Jun 2052</t>
  </si>
  <si>
    <t>Jul 2052</t>
  </si>
  <si>
    <t>Aug 2052</t>
  </si>
  <si>
    <t>Sep 2052</t>
  </si>
  <si>
    <t>Oct 2052</t>
  </si>
  <si>
    <t>Nov 2052</t>
  </si>
  <si>
    <t>Dec 2052</t>
  </si>
  <si>
    <t>Jan 2053</t>
  </si>
  <si>
    <t>Feb 2053</t>
  </si>
  <si>
    <t>Mar 2053</t>
  </si>
  <si>
    <t>Apr 2053</t>
  </si>
  <si>
    <t>May 2053</t>
  </si>
  <si>
    <t>Jun 2053</t>
  </si>
  <si>
    <t>Jul 2053</t>
  </si>
  <si>
    <t>Aug 2053</t>
  </si>
  <si>
    <t>Sep 2053</t>
  </si>
  <si>
    <t>Oct 2053</t>
  </si>
  <si>
    <t>Nov 2053</t>
  </si>
  <si>
    <t>Dec 2053</t>
  </si>
  <si>
    <t>Jan 2054</t>
  </si>
  <si>
    <t>Feb 2054</t>
  </si>
  <si>
    <t>Mar 2054</t>
  </si>
  <si>
    <t>Apr 2054</t>
  </si>
  <si>
    <t>May 2054</t>
  </si>
  <si>
    <t>Jun 2054</t>
  </si>
  <si>
    <t>Jul 2054</t>
  </si>
  <si>
    <t>Aug 2054</t>
  </si>
  <si>
    <t>Sep 2054</t>
  </si>
  <si>
    <t>Oct 2054</t>
  </si>
  <si>
    <t>Nov 2054</t>
  </si>
  <si>
    <t>Dec 2054</t>
  </si>
  <si>
    <t>TIME
(MONTHS)</t>
  </si>
  <si>
    <t>Total Condensate Production (BBL)</t>
  </si>
  <si>
    <t>Monthly Revenue - Gas ($)</t>
  </si>
  <si>
    <t>Monthly Revenue - Condensate ($)</t>
  </si>
  <si>
    <t>Total Monthly Revenue ($)</t>
  </si>
  <si>
    <t>Monthly Opex ($)</t>
  </si>
  <si>
    <t>Net Monthly Cash flow 
(Pre-Capex) ($)</t>
  </si>
  <si>
    <t>CAPEX ($)</t>
  </si>
  <si>
    <t>Net Monthly Cash flow 
(Post-Capex) ($)</t>
  </si>
  <si>
    <t>Discount Factor</t>
  </si>
  <si>
    <t>Discounted Monthly Cash Flow ($)</t>
  </si>
  <si>
    <t>Cumulative Discounted Cash Flow ($)</t>
  </si>
  <si>
    <t>Q (Flow rate)(MCF/month)</t>
  </si>
  <si>
    <t>P_wf(IPR) Psi</t>
  </si>
  <si>
    <t>P_wf(VLP) Psi</t>
  </si>
  <si>
    <t>P_res</t>
  </si>
  <si>
    <t>P_wh</t>
  </si>
  <si>
    <t>J (productivity index)</t>
  </si>
  <si>
    <t>A ( VLP Constant)</t>
  </si>
  <si>
    <t>B (VLP Constant)</t>
  </si>
  <si>
    <t xml:space="preserve">PI </t>
  </si>
  <si>
    <t>Optimall operation</t>
  </si>
  <si>
    <t>Q</t>
  </si>
  <si>
    <t>Q Critical</t>
  </si>
  <si>
    <t>Pwf Critical</t>
  </si>
  <si>
    <t>P_ipr</t>
  </si>
  <si>
    <t>P_VLP</t>
  </si>
  <si>
    <t>Difference</t>
  </si>
  <si>
    <t>With Liquid Loading</t>
  </si>
  <si>
    <t>P_vlp</t>
  </si>
  <si>
    <t>Optimal flowrate: 4166.67</t>
  </si>
  <si>
    <t>Flow rate with Liquid Loading: 3125.00</t>
  </si>
  <si>
    <t>% of Production Reduction</t>
  </si>
  <si>
    <t>% Reduction = (1-(Flow rate with  liquid loading/Optimal Flow rate))*100</t>
  </si>
  <si>
    <t>% reduction = 25</t>
  </si>
  <si>
    <t>Case</t>
  </si>
  <si>
    <t>Gas Price($/MCF)</t>
  </si>
  <si>
    <t>Monthly OPEX($)</t>
  </si>
  <si>
    <t>Monthly Discount Rate (Decimal)</t>
  </si>
  <si>
    <t>NPV($)</t>
  </si>
  <si>
    <t>Best</t>
  </si>
  <si>
    <t>Base</t>
  </si>
  <si>
    <t>Worst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</si>
</sst>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00"/>
    <numFmt numFmtId="166" formatCode="0.0000000"/>
  </numFmts>
  <fonts count="11">
    <font>
      <sz val="10.0"/>
      <color rgb="FF000000"/>
      <name val="Helvetica Neue"/>
      <scheme val="minor"/>
    </font>
    <font>
      <b/>
      <sz val="12.0"/>
      <color theme="1"/>
      <name val="Verdana"/>
    </font>
    <font>
      <b/>
      <sz val="10.0"/>
      <color rgb="FF000000"/>
      <name val="Helvetica Neue"/>
    </font>
    <font>
      <sz val="10.0"/>
      <color rgb="FF000000"/>
      <name val="Helvetica Neue"/>
    </font>
    <font>
      <sz val="12.0"/>
      <color rgb="FF000000"/>
      <name val="Verdana"/>
    </font>
    <font>
      <b/>
      <sz val="10.0"/>
      <color theme="1"/>
      <name val="Helvetica Neue"/>
    </font>
    <font>
      <b/>
      <sz val="12.0"/>
      <color rgb="FF000000"/>
      <name val="Verdana"/>
    </font>
    <font>
      <sz val="12.0"/>
      <color theme="1"/>
      <name val="Verdana"/>
    </font>
    <font>
      <b/>
      <sz val="10.0"/>
      <color rgb="FF000000"/>
      <name val="Verdana"/>
    </font>
    <font>
      <sz val="10.0"/>
      <color theme="1"/>
      <name val="Helvetica Neue"/>
    </font>
    <font>
      <sz val="9.0"/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EFAC"/>
        <bgColor rgb="FFFFEFAC"/>
      </patternFill>
    </fill>
    <fill>
      <patternFill patternType="solid">
        <fgColor rgb="FF999999"/>
        <bgColor rgb="FF999999"/>
      </patternFill>
    </fill>
  </fills>
  <borders count="2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top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2" fillId="0" fontId="1" numFmtId="2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2" numFmtId="2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0" fontId="4" numFmtId="164" xfId="0" applyAlignment="1" applyBorder="1" applyFont="1" applyNumberForma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4" numFmtId="2" xfId="0" applyAlignment="1" applyBorder="1" applyFont="1" applyNumberFormat="1">
      <alignment shrinkToFit="0" vertical="center" wrapText="1"/>
    </xf>
    <xf borderId="6" fillId="0" fontId="4" numFmtId="0" xfId="0" applyAlignment="1" applyBorder="1" applyFont="1">
      <alignment shrinkToFit="0" vertical="top" wrapText="1"/>
    </xf>
    <xf borderId="0" fillId="0" fontId="3" numFmtId="2" xfId="0" applyAlignment="1" applyFont="1" applyNumberFormat="1">
      <alignment shrinkToFit="0" vertical="top" wrapText="1"/>
    </xf>
    <xf borderId="7" fillId="0" fontId="4" numFmtId="164" xfId="0" applyAlignment="1" applyBorder="1" applyFont="1" applyNumberForma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9" fillId="0" fontId="4" numFmtId="2" xfId="0" applyAlignment="1" applyBorder="1" applyFont="1" applyNumberFormat="1">
      <alignment shrinkToFit="0" vertical="center" wrapText="1"/>
    </xf>
    <xf borderId="9" fillId="0" fontId="4" numFmtId="0" xfId="0" applyAlignment="1" applyBorder="1" applyFont="1">
      <alignment shrinkToFit="0" vertical="top" wrapText="1"/>
    </xf>
    <xf borderId="10" fillId="0" fontId="4" numFmtId="0" xfId="0" applyAlignment="1" applyBorder="1" applyFont="1">
      <alignment shrinkToFit="0" vertical="top" wrapText="1"/>
    </xf>
    <xf borderId="10" fillId="0" fontId="4" numFmtId="2" xfId="0" applyAlignment="1" applyBorder="1" applyFont="1" applyNumberFormat="1">
      <alignment shrinkToFit="0" vertical="top" wrapText="1"/>
    </xf>
    <xf borderId="11" fillId="0" fontId="4" numFmtId="0" xfId="0" applyAlignment="1" applyBorder="1" applyFont="1">
      <alignment shrinkToFit="0" vertical="top" wrapText="1"/>
    </xf>
    <xf borderId="11" fillId="0" fontId="4" numFmtId="2" xfId="0" applyAlignment="1" applyBorder="1" applyFont="1" applyNumberFormat="1">
      <alignment shrinkToFit="0" vertical="top" wrapText="1"/>
    </xf>
    <xf borderId="12" fillId="0" fontId="4" numFmtId="0" xfId="0" applyAlignment="1" applyBorder="1" applyFont="1">
      <alignment shrinkToFit="0" vertical="top" wrapText="1"/>
    </xf>
    <xf borderId="12" fillId="0" fontId="4" numFmtId="2" xfId="0" applyAlignment="1" applyBorder="1" applyFont="1" applyNumberForma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13" fillId="0" fontId="5" numFmtId="0" xfId="0" applyAlignment="1" applyBorder="1" applyFont="1">
      <alignment horizontal="center" shrinkToFit="0" vertical="top" wrapText="1"/>
    </xf>
    <xf borderId="14" fillId="0" fontId="5" numFmtId="0" xfId="0" applyAlignment="1" applyBorder="1" applyFont="1">
      <alignment horizontal="center" shrinkToFit="0" vertical="top" wrapText="1"/>
    </xf>
    <xf borderId="14" fillId="0" fontId="2" numFmtId="0" xfId="0" applyAlignment="1" applyBorder="1" applyFont="1">
      <alignment horizontal="center" shrinkToFit="0" vertical="top" wrapText="1"/>
    </xf>
    <xf borderId="15" fillId="0" fontId="2" numFmtId="0" xfId="0" applyAlignment="1" applyBorder="1" applyFont="1">
      <alignment horizontal="center" shrinkToFit="0" vertical="top" wrapText="1"/>
    </xf>
    <xf borderId="16" fillId="0" fontId="5" numFmtId="0" xfId="0" applyAlignment="1" applyBorder="1" applyFont="1">
      <alignment shrinkToFit="0" vertical="top" wrapText="1"/>
    </xf>
    <xf borderId="17" fillId="0" fontId="3" numFmtId="2" xfId="0" applyAlignment="1" applyBorder="1" applyFont="1" applyNumberFormat="1">
      <alignment shrinkToFit="0" vertical="top" wrapText="1"/>
    </xf>
    <xf borderId="17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19" fillId="0" fontId="5" numFmtId="0" xfId="0" applyAlignment="1" applyBorder="1" applyFont="1">
      <alignment shrinkToFit="0" vertical="top" wrapText="1"/>
    </xf>
    <xf borderId="20" fillId="0" fontId="3" numFmtId="2" xfId="0" applyAlignment="1" applyBorder="1" applyFont="1" applyNumberFormat="1">
      <alignment shrinkToFit="0" vertical="top" wrapText="1"/>
    </xf>
    <xf borderId="20" fillId="0" fontId="3" numFmtId="0" xfId="0" applyAlignment="1" applyBorder="1" applyFont="1">
      <alignment shrinkToFit="0" vertical="top" wrapText="1"/>
    </xf>
    <xf borderId="21" fillId="0" fontId="3" numFmtId="0" xfId="0" applyAlignment="1" applyBorder="1" applyFont="1">
      <alignment shrinkToFit="0" vertical="top" wrapText="1"/>
    </xf>
    <xf borderId="17" fillId="2" fontId="2" numFmtId="2" xfId="0" applyAlignment="1" applyBorder="1" applyFill="1" applyFont="1" applyNumberFormat="1">
      <alignment shrinkToFit="0" vertical="top" wrapText="1"/>
    </xf>
    <xf borderId="17" fillId="2" fontId="2" numFmtId="0" xfId="0" applyAlignment="1" applyBorder="1" applyFont="1">
      <alignment shrinkToFit="0" vertical="top" wrapText="1"/>
    </xf>
    <xf borderId="17" fillId="2" fontId="3" numFmtId="2" xfId="0" applyAlignment="1" applyBorder="1" applyFont="1" applyNumberFormat="1">
      <alignment shrinkToFit="0" vertical="top" wrapText="1"/>
    </xf>
    <xf borderId="17" fillId="2" fontId="3" numFmtId="0" xfId="0" applyAlignment="1" applyBorder="1" applyFont="1">
      <alignment shrinkToFit="0" vertical="top" wrapText="1"/>
    </xf>
    <xf borderId="0" fillId="0" fontId="3" numFmtId="165" xfId="0" applyAlignment="1" applyFont="1" applyNumberFormat="1">
      <alignment shrinkToFit="0" vertical="top" wrapText="1"/>
    </xf>
    <xf borderId="17" fillId="2" fontId="3" numFmtId="165" xfId="0" applyAlignment="1" applyBorder="1" applyFont="1" applyNumberFormat="1">
      <alignment shrinkToFit="0" vertical="top" wrapText="1"/>
    </xf>
    <xf borderId="22" fillId="2" fontId="2" numFmtId="2" xfId="0" applyAlignment="1" applyBorder="1" applyFont="1" applyNumberFormat="1">
      <alignment shrinkToFit="0" vertical="top" wrapText="1"/>
    </xf>
    <xf borderId="22" fillId="2" fontId="3" numFmtId="2" xfId="0" applyAlignment="1" applyBorder="1" applyFont="1" applyNumberFormat="1">
      <alignment shrinkToFit="0" vertical="top" wrapText="1"/>
    </xf>
    <xf borderId="22" fillId="2" fontId="3" numFmtId="0" xfId="0" applyAlignment="1" applyBorder="1" applyFont="1">
      <alignment shrinkToFit="0" vertical="top" wrapText="1"/>
    </xf>
    <xf borderId="13" fillId="3" fontId="6" numFmtId="0" xfId="0" applyAlignment="1" applyBorder="1" applyFill="1" applyFont="1">
      <alignment horizontal="center" shrinkToFit="0" vertical="center" wrapText="1"/>
    </xf>
    <xf borderId="14" fillId="3" fontId="6" numFmtId="164" xfId="0" applyAlignment="1" applyBorder="1" applyFont="1" applyNumberFormat="1">
      <alignment horizontal="center" shrinkToFit="0" vertical="center" wrapText="1"/>
    </xf>
    <xf borderId="14" fillId="3" fontId="6" numFmtId="2" xfId="0" applyAlignment="1" applyBorder="1" applyFont="1" applyNumberFormat="1">
      <alignment horizontal="center" shrinkToFit="0" vertical="center" wrapText="1"/>
    </xf>
    <xf borderId="23" fillId="3" fontId="6" numFmtId="2" xfId="0" applyAlignment="1" applyBorder="1" applyFont="1" applyNumberFormat="1">
      <alignment horizontal="center" shrinkToFit="0" vertical="center" wrapText="1"/>
    </xf>
    <xf borderId="17" fillId="3" fontId="6" numFmtId="2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shrinkToFit="0" vertical="top" wrapText="1"/>
    </xf>
    <xf borderId="17" fillId="0" fontId="4" numFmtId="164" xfId="0" applyAlignment="1" applyBorder="1" applyFont="1" applyNumberFormat="1">
      <alignment horizontal="left" shrinkToFit="0" vertical="center" wrapText="1"/>
    </xf>
    <xf borderId="17" fillId="0" fontId="4" numFmtId="2" xfId="0" applyAlignment="1" applyBorder="1" applyFont="1" applyNumberFormat="1">
      <alignment shrinkToFit="0" vertical="center" wrapText="1"/>
    </xf>
    <xf borderId="24" fillId="0" fontId="3" numFmtId="2" xfId="0" applyAlignment="1" applyBorder="1" applyFont="1" applyNumberFormat="1">
      <alignment shrinkToFit="0" vertical="top" wrapText="1"/>
    </xf>
    <xf borderId="17" fillId="0" fontId="4" numFmtId="2" xfId="0" applyAlignment="1" applyBorder="1" applyFont="1" applyNumberFormat="1">
      <alignment shrinkToFit="0" vertical="top" wrapText="1"/>
    </xf>
    <xf borderId="19" fillId="0" fontId="4" numFmtId="0" xfId="0" applyAlignment="1" applyBorder="1" applyFont="1">
      <alignment shrinkToFit="0" vertical="top" wrapText="1"/>
    </xf>
    <xf borderId="20" fillId="0" fontId="4" numFmtId="164" xfId="0" applyAlignment="1" applyBorder="1" applyFont="1" applyNumberFormat="1">
      <alignment horizontal="left" shrinkToFit="0" vertical="center" wrapText="1"/>
    </xf>
    <xf borderId="20" fillId="0" fontId="4" numFmtId="2" xfId="0" applyAlignment="1" applyBorder="1" applyFont="1" applyNumberFormat="1">
      <alignment shrinkToFit="0" vertical="top" wrapText="1"/>
    </xf>
    <xf borderId="25" fillId="0" fontId="3" numFmtId="2" xfId="0" applyAlignment="1" applyBorder="1" applyFont="1" applyNumberFormat="1">
      <alignment shrinkToFit="0" vertical="top" wrapText="1"/>
    </xf>
    <xf borderId="14" fillId="3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8" fillId="0" fontId="3" numFmtId="2" xfId="0" applyAlignment="1" applyBorder="1" applyFont="1" applyNumberFormat="1">
      <alignment shrinkToFit="0" vertical="top" wrapText="1"/>
    </xf>
    <xf borderId="21" fillId="0" fontId="3" numFmtId="2" xfId="0" applyAlignment="1" applyBorder="1" applyFont="1" applyNumberFormat="1">
      <alignment shrinkToFit="0" vertical="top" wrapText="1"/>
    </xf>
    <xf borderId="17" fillId="0" fontId="6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7" fillId="0" fontId="6" numFmtId="2" xfId="0" applyAlignment="1" applyBorder="1" applyFont="1" applyNumberFormat="1">
      <alignment shrinkToFit="0" vertical="top" wrapText="1"/>
    </xf>
    <xf borderId="17" fillId="0" fontId="8" numFmtId="0" xfId="0" applyAlignment="1" applyBorder="1" applyFont="1">
      <alignment shrinkToFit="0" vertical="top" wrapText="1"/>
    </xf>
    <xf borderId="0" fillId="0" fontId="4" numFmtId="2" xfId="0" applyAlignment="1" applyFont="1" applyNumberFormat="1">
      <alignment shrinkToFit="0" vertical="top" wrapText="1"/>
    </xf>
    <xf borderId="17" fillId="0" fontId="4" numFmtId="0" xfId="0" applyAlignment="1" applyBorder="1" applyFont="1">
      <alignment shrinkToFit="0" vertical="top" wrapText="1"/>
    </xf>
    <xf borderId="17" fillId="0" fontId="4" numFmtId="165" xfId="0" applyAlignment="1" applyBorder="1" applyFont="1" applyNumberFormat="1">
      <alignment shrinkToFit="0" vertical="top" wrapText="1"/>
    </xf>
    <xf borderId="0" fillId="0" fontId="4" numFmtId="165" xfId="0" applyAlignment="1" applyFont="1" applyNumberFormat="1">
      <alignment shrinkToFit="0" vertical="top" wrapText="1"/>
    </xf>
    <xf borderId="17" fillId="0" fontId="4" numFmtId="166" xfId="0" applyAlignment="1" applyBorder="1" applyFont="1" applyNumberFormat="1">
      <alignment shrinkToFit="0" vertical="top" wrapText="1"/>
    </xf>
    <xf borderId="0" fillId="0" fontId="4" numFmtId="166" xfId="0" applyAlignment="1" applyFont="1" applyNumberForma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shrinkToFit="0" vertical="top" wrapText="1"/>
    </xf>
    <xf borderId="26" fillId="0" fontId="4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13" fillId="0" fontId="2" numFmtId="0" xfId="0" applyAlignment="1" applyBorder="1" applyFont="1">
      <alignment shrinkToFit="0" vertical="top" wrapText="1"/>
    </xf>
    <xf borderId="14" fillId="0" fontId="2" numFmtId="0" xfId="0" applyAlignment="1" applyBorder="1" applyFont="1">
      <alignment shrinkToFit="0" vertical="top" wrapText="1"/>
    </xf>
    <xf borderId="15" fillId="0" fontId="2" numFmtId="0" xfId="0" applyAlignment="1" applyBorder="1" applyFont="1">
      <alignment shrinkToFit="0" vertical="top" wrapText="1"/>
    </xf>
    <xf borderId="16" fillId="0" fontId="2" numFmtId="0" xfId="0" applyAlignment="1" applyBorder="1" applyFont="1">
      <alignment shrinkToFit="0" vertical="top" wrapText="1"/>
    </xf>
    <xf borderId="18" fillId="0" fontId="2" numFmtId="2" xfId="0" applyAlignment="1" applyBorder="1" applyFont="1" applyNumberFormat="1">
      <alignment shrinkToFit="0" vertical="top" wrapText="1"/>
    </xf>
    <xf borderId="19" fillId="0" fontId="2" numFmtId="0" xfId="0" applyAlignment="1" applyBorder="1" applyFont="1">
      <alignment shrinkToFit="0" vertical="top" wrapText="1"/>
    </xf>
    <xf borderId="21" fillId="0" fontId="2" numFmtId="2" xfId="0" applyAlignment="1" applyBorder="1" applyFont="1" applyNumberForma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istorical_Production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Decline Curve Analysis(DCA) - Gas Production Forecast For PEGASUS Well</a:t>
            </a:r>
          </a:p>
        </c:rich>
      </c:tx>
      <c:overlay val="0"/>
    </c:title>
    <c:plotArea>
      <c:layout>
        <c:manualLayout>
          <c:xMode val="edge"/>
          <c:yMode val="edge"/>
          <c:x val="0.15830637157787988"/>
          <c:y val="0.22761680638681642"/>
          <c:w val="0.8255458159689836"/>
          <c:h val="0.4977730309577154"/>
        </c:manualLayout>
      </c:layout>
      <c:lineChart>
        <c:ser>
          <c:idx val="0"/>
          <c:order val="0"/>
          <c:tx>
            <c:v>TIME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DCA_Forecast_Model!$A$6:$A$449</c:f>
              <c:numCache/>
            </c:numRef>
          </c:val>
          <c:smooth val="0"/>
        </c:ser>
        <c:ser>
          <c:idx val="1"/>
          <c:order val="1"/>
          <c:tx>
            <c:v>Total Gas Production (MCF)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Expon. (Total Gas Production (MCF))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val>
            <c:numRef>
              <c:f>DCA_Forecast_Model!$G$6:$G$449</c:f>
              <c:numCache/>
            </c:numRef>
          </c:val>
          <c:smooth val="0"/>
        </c:ser>
        <c:axId val="282143697"/>
        <c:axId val="808863750"/>
      </c:lineChart>
      <c:catAx>
        <c:axId val="28214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(Months)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8863750"/>
      </c:catAx>
      <c:valAx>
        <c:axId val="808863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Gas Production (MCF/month)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21436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Project Cash Flow Analysis</a:t>
            </a:r>
          </a:p>
        </c:rich>
      </c:tx>
      <c:layout>
        <c:manualLayout>
          <c:xMode val="edge"/>
          <c:yMode val="edge"/>
          <c:x val="0.3542118527892828"/>
          <c:y val="8.82284268580573E-4"/>
        </c:manualLayout>
      </c:layout>
      <c:overlay val="0"/>
    </c:title>
    <c:plotArea>
      <c:layout/>
      <c:lineChart>
        <c:ser>
          <c:idx val="0"/>
          <c:order val="0"/>
          <c:tx>
            <c:v>TIME
(MONTHS)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'Cash Flow Model'!$A$5:$A$448</c:f>
              <c:numCache/>
            </c:numRef>
          </c:val>
          <c:smooth val="0"/>
        </c:ser>
        <c:ser>
          <c:idx val="1"/>
          <c:order val="1"/>
          <c:tx>
            <c:v>Net Monthly Cash flow 
(Post-Capex) ($)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'Cash Flow Model'!$J$5:$J$448</c:f>
              <c:numCache/>
            </c:numRef>
          </c:val>
          <c:smooth val="0"/>
        </c:ser>
        <c:ser>
          <c:idx val="2"/>
          <c:order val="2"/>
          <c:tx>
            <c:v>Cumulative Discounted Cash Flow ($)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'Cash Flow Model'!$M$5:$M$448</c:f>
              <c:numCache/>
            </c:numRef>
          </c:val>
          <c:smooth val="0"/>
        </c:ser>
        <c:axId val="799592028"/>
        <c:axId val="721206022"/>
      </c:lineChart>
      <c:catAx>
        <c:axId val="799592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1206022"/>
      </c:catAx>
      <c:valAx>
        <c:axId val="7212060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Cash Flow 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959202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Nodal Analysis:inFlow Performance vs. Vertical Lift Performance</a:t>
            </a:r>
          </a:p>
        </c:rich>
      </c:tx>
      <c:layout>
        <c:manualLayout>
          <c:xMode val="edge"/>
          <c:yMode val="edge"/>
          <c:x val="0.12714231586946728"/>
          <c:y val="0.01848793158561929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P_wf(IPR) Psi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'Nodal Analysis Calculations'!$G$2:$G$58</c:f>
            </c:numRef>
          </c:xVal>
          <c:yVal>
            <c:numRef>
              <c:f>'Nodal Analysis Calculations'!$H$2:$H$58</c:f>
              <c:numCache/>
            </c:numRef>
          </c:yVal>
        </c:ser>
        <c:ser>
          <c:idx val="1"/>
          <c:order val="1"/>
          <c:tx>
            <c:v>P_wf(VLP) Psi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'Nodal Analysis Calculations'!$G$2:$G$58</c:f>
            </c:numRef>
          </c:xVal>
          <c:yVal>
            <c:numRef>
              <c:f>'Nodal Analysis Calculations'!$I$2:$I$58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840869"/>
        <c:axId val="1524504793"/>
      </c:scatterChart>
      <c:valAx>
        <c:axId val="807840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Flow Rate (MCF/month)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4504793"/>
      </c:valAx>
      <c:valAx>
        <c:axId val="15245047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Bottom-hole
 Flowing Pressure(psi)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784086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514350</xdr:colOff>
      <xdr:row>0</xdr:row>
      <xdr:rowOff>333375</xdr:rowOff>
    </xdr:from>
    <xdr:ext cx="4819650" cy="1790700"/>
    <xdr:graphicFrame>
      <xdr:nvGraphicFramePr>
        <xdr:cNvPr id="19491862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323850</xdr:colOff>
      <xdr:row>3</xdr:row>
      <xdr:rowOff>419100</xdr:rowOff>
    </xdr:from>
    <xdr:ext cx="6562725" cy="2895600"/>
    <xdr:graphicFrame>
      <xdr:nvGraphicFramePr>
        <xdr:cNvPr id="10780234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447675</xdr:colOff>
      <xdr:row>13</xdr:row>
      <xdr:rowOff>304800</xdr:rowOff>
    </xdr:from>
    <xdr:ext cx="4972050" cy="3800475"/>
    <xdr:graphicFrame>
      <xdr:nvGraphicFramePr>
        <xdr:cNvPr id="86584119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45" displayName="Table1" name="Table1" id="1">
  <tableColumns count="6">
    <tableColumn name="Date" id="1"/>
    <tableColumn name="Oil (BBL)" id="2"/>
    <tableColumn name="Casinghead (MCF)" id="3"/>
    <tableColumn name="GW Gas (MCF)" id="4"/>
    <tableColumn name="Condensate (BBL)" id="5"/>
    <tableColumn name="TIME" id="6"/>
  </tableColumns>
  <tableStyleInfo name="Historical_Production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29"/>
    <col customWidth="1" min="2" max="2" width="17.43"/>
    <col customWidth="1" min="3" max="3" width="18.57"/>
    <col customWidth="1" min="4" max="4" width="20.0"/>
    <col customWidth="1" min="5" max="5" width="19.57"/>
    <col customWidth="1" min="6" max="6" width="12.86"/>
    <col customWidth="1" min="7" max="17" width="16.29"/>
  </cols>
  <sheetData>
    <row r="1" ht="58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6"/>
      <c r="J1" s="6"/>
      <c r="K1" s="6"/>
      <c r="L1" s="6"/>
      <c r="M1" s="6"/>
      <c r="N1" s="6"/>
      <c r="O1" s="6"/>
      <c r="P1" s="6"/>
      <c r="Q1" s="6"/>
    </row>
    <row r="2" ht="20.25" customHeight="1">
      <c r="A2" s="7">
        <v>43101.0</v>
      </c>
      <c r="B2" s="8">
        <v>977.0</v>
      </c>
      <c r="C2" s="9">
        <v>8274.0</v>
      </c>
      <c r="D2" s="9">
        <v>54178.0</v>
      </c>
      <c r="E2" s="9">
        <v>581.0</v>
      </c>
      <c r="F2" s="10">
        <f>1</f>
        <v>1</v>
      </c>
      <c r="G2" s="11"/>
      <c r="H2" s="11"/>
      <c r="I2" s="6"/>
      <c r="J2" s="6"/>
      <c r="K2" s="6"/>
      <c r="L2" s="6"/>
      <c r="M2" s="6"/>
      <c r="N2" s="6"/>
      <c r="O2" s="6"/>
      <c r="P2" s="6"/>
      <c r="Q2" s="6"/>
    </row>
    <row r="3" ht="27.75" customHeight="1">
      <c r="A3" s="12">
        <v>43132.0</v>
      </c>
      <c r="B3" s="13">
        <v>679.0</v>
      </c>
      <c r="C3" s="14">
        <v>9237.0</v>
      </c>
      <c r="D3" s="14">
        <v>48959.0</v>
      </c>
      <c r="E3" s="14">
        <v>445.0</v>
      </c>
      <c r="F3" s="15">
        <f t="shared" ref="F3:F445" si="1">F2+1</f>
        <v>2</v>
      </c>
      <c r="G3" s="11"/>
      <c r="H3" s="11"/>
      <c r="I3" s="6"/>
      <c r="J3" s="6"/>
      <c r="K3" s="6"/>
      <c r="L3" s="6"/>
      <c r="M3" s="6"/>
      <c r="N3" s="6"/>
      <c r="O3" s="6"/>
      <c r="P3" s="6"/>
      <c r="Q3" s="6"/>
    </row>
    <row r="4" ht="19.5" customHeight="1">
      <c r="A4" s="12">
        <v>43160.0</v>
      </c>
      <c r="B4" s="13">
        <v>374.0</v>
      </c>
      <c r="C4" s="14">
        <v>7522.0</v>
      </c>
      <c r="D4" s="14">
        <v>54378.0</v>
      </c>
      <c r="E4" s="14">
        <v>442.0</v>
      </c>
      <c r="F4" s="15">
        <f t="shared" si="1"/>
        <v>3</v>
      </c>
      <c r="G4" s="11"/>
      <c r="H4" s="11"/>
      <c r="I4" s="6"/>
      <c r="J4" s="6"/>
      <c r="K4" s="6"/>
      <c r="L4" s="6"/>
      <c r="M4" s="6"/>
      <c r="N4" s="6"/>
      <c r="O4" s="6"/>
      <c r="P4" s="6"/>
      <c r="Q4" s="6"/>
    </row>
    <row r="5" ht="24.75" customHeight="1">
      <c r="A5" s="12">
        <v>43191.0</v>
      </c>
      <c r="B5" s="13">
        <v>442.0</v>
      </c>
      <c r="C5" s="14">
        <v>6620.0</v>
      </c>
      <c r="D5" s="14">
        <v>51098.0</v>
      </c>
      <c r="E5" s="14">
        <v>364.0</v>
      </c>
      <c r="F5" s="15">
        <f t="shared" si="1"/>
        <v>4</v>
      </c>
      <c r="G5" s="11"/>
      <c r="H5" s="11"/>
      <c r="I5" s="6"/>
      <c r="J5" s="6"/>
      <c r="K5" s="6"/>
      <c r="L5" s="6"/>
      <c r="M5" s="6"/>
      <c r="N5" s="6"/>
      <c r="O5" s="6"/>
      <c r="P5" s="6"/>
      <c r="Q5" s="6"/>
    </row>
    <row r="6" ht="19.5" customHeight="1">
      <c r="A6" s="12">
        <v>43221.0</v>
      </c>
      <c r="B6" s="13">
        <v>416.0</v>
      </c>
      <c r="C6" s="14">
        <v>5651.0</v>
      </c>
      <c r="D6" s="14">
        <v>52736.0</v>
      </c>
      <c r="E6" s="14">
        <v>415.0</v>
      </c>
      <c r="F6" s="15">
        <f t="shared" si="1"/>
        <v>5</v>
      </c>
      <c r="G6" s="11"/>
      <c r="H6" s="11"/>
      <c r="I6" s="6"/>
      <c r="J6" s="6"/>
      <c r="K6" s="6"/>
      <c r="L6" s="6"/>
      <c r="M6" s="6"/>
      <c r="N6" s="6"/>
      <c r="O6" s="6"/>
      <c r="P6" s="6"/>
      <c r="Q6" s="6"/>
    </row>
    <row r="7" ht="19.5" customHeight="1">
      <c r="A7" s="12">
        <v>43252.0</v>
      </c>
      <c r="B7" s="13">
        <v>414.0</v>
      </c>
      <c r="C7" s="14">
        <v>6100.0</v>
      </c>
      <c r="D7" s="14">
        <v>47572.0</v>
      </c>
      <c r="E7" s="14">
        <v>364.0</v>
      </c>
      <c r="F7" s="15">
        <f t="shared" si="1"/>
        <v>6</v>
      </c>
      <c r="G7" s="11"/>
      <c r="H7" s="11"/>
      <c r="I7" s="6"/>
      <c r="J7" s="6"/>
      <c r="K7" s="6"/>
      <c r="L7" s="6"/>
      <c r="M7" s="6"/>
      <c r="N7" s="6"/>
      <c r="O7" s="6"/>
      <c r="P7" s="6"/>
      <c r="Q7" s="6"/>
    </row>
    <row r="8" ht="19.5" customHeight="1">
      <c r="A8" s="12">
        <v>43282.0</v>
      </c>
      <c r="B8" s="13">
        <v>392.0</v>
      </c>
      <c r="C8" s="14">
        <v>7892.0</v>
      </c>
      <c r="D8" s="14">
        <v>53651.0</v>
      </c>
      <c r="E8" s="14">
        <v>475.0</v>
      </c>
      <c r="F8" s="15">
        <f t="shared" si="1"/>
        <v>7</v>
      </c>
      <c r="G8" s="11"/>
      <c r="H8" s="11"/>
      <c r="I8" s="6"/>
      <c r="J8" s="6"/>
      <c r="K8" s="6"/>
      <c r="L8" s="6"/>
      <c r="M8" s="6"/>
      <c r="N8" s="6"/>
      <c r="O8" s="6"/>
      <c r="P8" s="6"/>
      <c r="Q8" s="6"/>
    </row>
    <row r="9" ht="19.5" customHeight="1">
      <c r="A9" s="12">
        <v>43313.0</v>
      </c>
      <c r="B9" s="13">
        <v>419.0</v>
      </c>
      <c r="C9" s="14">
        <v>8134.0</v>
      </c>
      <c r="D9" s="14">
        <v>56592.0</v>
      </c>
      <c r="E9" s="14">
        <v>518.0</v>
      </c>
      <c r="F9" s="15">
        <f t="shared" si="1"/>
        <v>8</v>
      </c>
      <c r="G9" s="11"/>
      <c r="H9" s="11"/>
      <c r="I9" s="6"/>
      <c r="J9" s="6"/>
      <c r="K9" s="6"/>
      <c r="L9" s="6"/>
      <c r="M9" s="6"/>
      <c r="N9" s="6"/>
      <c r="O9" s="6"/>
      <c r="P9" s="6"/>
      <c r="Q9" s="6"/>
    </row>
    <row r="10" ht="19.5" customHeight="1">
      <c r="A10" s="12">
        <v>43344.0</v>
      </c>
      <c r="B10" s="13">
        <v>376.0</v>
      </c>
      <c r="C10" s="14">
        <v>6476.0</v>
      </c>
      <c r="D10" s="14">
        <v>55583.0</v>
      </c>
      <c r="E10" s="14">
        <v>498.0</v>
      </c>
      <c r="F10" s="15">
        <f t="shared" si="1"/>
        <v>9</v>
      </c>
      <c r="G10" s="11"/>
      <c r="H10" s="11"/>
      <c r="I10" s="6"/>
      <c r="J10" s="6"/>
      <c r="K10" s="6"/>
      <c r="L10" s="6"/>
      <c r="M10" s="6"/>
      <c r="N10" s="6"/>
      <c r="O10" s="6"/>
      <c r="P10" s="6"/>
      <c r="Q10" s="6"/>
    </row>
    <row r="11" ht="19.5" customHeight="1">
      <c r="A11" s="12">
        <v>43374.0</v>
      </c>
      <c r="B11" s="13">
        <v>836.0</v>
      </c>
      <c r="C11" s="14">
        <v>10846.0</v>
      </c>
      <c r="D11" s="14">
        <v>56566.0</v>
      </c>
      <c r="E11" s="14">
        <v>825.0</v>
      </c>
      <c r="F11" s="15">
        <f t="shared" si="1"/>
        <v>10</v>
      </c>
      <c r="G11" s="11"/>
      <c r="H11" s="11"/>
      <c r="I11" s="6"/>
      <c r="J11" s="6"/>
      <c r="K11" s="6"/>
      <c r="L11" s="6"/>
      <c r="M11" s="6"/>
      <c r="N11" s="6"/>
      <c r="O11" s="6"/>
      <c r="P11" s="6"/>
      <c r="Q11" s="6"/>
    </row>
    <row r="12" ht="19.5" customHeight="1">
      <c r="A12" s="12">
        <v>43405.0</v>
      </c>
      <c r="B12" s="13">
        <v>711.0</v>
      </c>
      <c r="C12" s="14">
        <v>10832.0</v>
      </c>
      <c r="D12" s="14">
        <v>53657.0</v>
      </c>
      <c r="E12" s="14">
        <v>590.0</v>
      </c>
      <c r="F12" s="15">
        <f t="shared" si="1"/>
        <v>11</v>
      </c>
      <c r="G12" s="11"/>
      <c r="H12" s="11"/>
      <c r="I12" s="6"/>
      <c r="J12" s="6"/>
      <c r="K12" s="6"/>
      <c r="L12" s="6"/>
      <c r="M12" s="6"/>
      <c r="N12" s="6"/>
      <c r="O12" s="6"/>
      <c r="P12" s="6"/>
      <c r="Q12" s="6"/>
    </row>
    <row r="13" ht="19.5" customHeight="1">
      <c r="A13" s="12">
        <v>43435.0</v>
      </c>
      <c r="B13" s="13">
        <v>553.0</v>
      </c>
      <c r="C13" s="14">
        <v>7146.0</v>
      </c>
      <c r="D13" s="14">
        <v>46971.0</v>
      </c>
      <c r="E13" s="14">
        <v>1171.0</v>
      </c>
      <c r="F13" s="15">
        <f t="shared" si="1"/>
        <v>12</v>
      </c>
      <c r="G13" s="11"/>
      <c r="H13" s="11"/>
      <c r="I13" s="6"/>
      <c r="J13" s="6"/>
      <c r="K13" s="6"/>
      <c r="L13" s="6"/>
      <c r="M13" s="6"/>
      <c r="N13" s="6"/>
      <c r="O13" s="6"/>
      <c r="P13" s="6"/>
      <c r="Q13" s="6"/>
    </row>
    <row r="14" ht="19.5" customHeight="1">
      <c r="A14" s="12">
        <v>43466.0</v>
      </c>
      <c r="B14" s="13">
        <v>320.0</v>
      </c>
      <c r="C14" s="14">
        <v>8479.0</v>
      </c>
      <c r="D14" s="14">
        <v>54650.0</v>
      </c>
      <c r="E14" s="14">
        <v>741.0</v>
      </c>
      <c r="F14" s="15">
        <f t="shared" si="1"/>
        <v>13</v>
      </c>
      <c r="G14" s="11"/>
      <c r="H14" s="11"/>
      <c r="I14" s="6"/>
      <c r="J14" s="6"/>
      <c r="K14" s="6"/>
      <c r="L14" s="6"/>
      <c r="M14" s="6"/>
      <c r="N14" s="6"/>
      <c r="O14" s="6"/>
      <c r="P14" s="6"/>
      <c r="Q14" s="6"/>
    </row>
    <row r="15" ht="19.5" customHeight="1">
      <c r="A15" s="12">
        <v>43497.0</v>
      </c>
      <c r="B15" s="13">
        <v>258.0</v>
      </c>
      <c r="C15" s="14">
        <v>8371.0</v>
      </c>
      <c r="D15" s="14">
        <v>48294.0</v>
      </c>
      <c r="E15" s="14">
        <v>689.0</v>
      </c>
      <c r="F15" s="15">
        <f t="shared" si="1"/>
        <v>14</v>
      </c>
      <c r="G15" s="11"/>
      <c r="H15" s="11"/>
      <c r="I15" s="6"/>
      <c r="J15" s="6"/>
      <c r="K15" s="6"/>
      <c r="L15" s="6"/>
      <c r="M15" s="6"/>
      <c r="N15" s="6"/>
      <c r="O15" s="6"/>
      <c r="P15" s="6"/>
      <c r="Q15" s="6"/>
    </row>
    <row r="16" ht="19.5" customHeight="1">
      <c r="A16" s="12">
        <v>43525.0</v>
      </c>
      <c r="B16" s="13">
        <v>205.0</v>
      </c>
      <c r="C16" s="14">
        <v>6212.0</v>
      </c>
      <c r="D16" s="14">
        <v>55288.0</v>
      </c>
      <c r="E16" s="14">
        <v>708.0</v>
      </c>
      <c r="F16" s="15">
        <f t="shared" si="1"/>
        <v>15</v>
      </c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</row>
    <row r="17" ht="19.5" customHeight="1">
      <c r="A17" s="12">
        <v>43556.0</v>
      </c>
      <c r="B17" s="13">
        <v>201.0</v>
      </c>
      <c r="C17" s="14">
        <v>6184.0</v>
      </c>
      <c r="D17" s="14">
        <v>49534.0</v>
      </c>
      <c r="E17" s="14">
        <v>644.0</v>
      </c>
      <c r="F17" s="15">
        <f t="shared" si="1"/>
        <v>16</v>
      </c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</row>
    <row r="18" ht="19.5" customHeight="1">
      <c r="A18" s="12">
        <v>43586.0</v>
      </c>
      <c r="B18" s="13">
        <v>170.0</v>
      </c>
      <c r="C18" s="14">
        <v>6670.0</v>
      </c>
      <c r="D18" s="14">
        <v>51012.0</v>
      </c>
      <c r="E18" s="14">
        <v>594.0</v>
      </c>
      <c r="F18" s="15">
        <f t="shared" si="1"/>
        <v>17</v>
      </c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</row>
    <row r="19" ht="19.5" customHeight="1">
      <c r="A19" s="12">
        <v>43617.0</v>
      </c>
      <c r="B19" s="13">
        <v>214.0</v>
      </c>
      <c r="C19" s="14">
        <v>7484.0</v>
      </c>
      <c r="D19" s="14">
        <v>49473.0</v>
      </c>
      <c r="E19" s="14">
        <v>426.0</v>
      </c>
      <c r="F19" s="15">
        <f t="shared" si="1"/>
        <v>18</v>
      </c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</row>
    <row r="20" ht="19.5" customHeight="1">
      <c r="A20" s="12">
        <v>43647.0</v>
      </c>
      <c r="B20" s="13">
        <v>264.0</v>
      </c>
      <c r="C20" s="14">
        <v>7086.0</v>
      </c>
      <c r="D20" s="14">
        <v>52823.0</v>
      </c>
      <c r="E20" s="14">
        <v>437.0</v>
      </c>
      <c r="F20" s="15">
        <f t="shared" si="1"/>
        <v>19</v>
      </c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</row>
    <row r="21" ht="19.5" customHeight="1">
      <c r="A21" s="12">
        <v>43678.0</v>
      </c>
      <c r="B21" s="13">
        <v>550.0</v>
      </c>
      <c r="C21" s="14">
        <v>6940.0</v>
      </c>
      <c r="D21" s="14">
        <v>52750.0</v>
      </c>
      <c r="E21" s="14">
        <v>503.0</v>
      </c>
      <c r="F21" s="15">
        <f t="shared" si="1"/>
        <v>20</v>
      </c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</row>
    <row r="22" ht="19.5" customHeight="1">
      <c r="A22" s="12">
        <v>43709.0</v>
      </c>
      <c r="B22" s="13">
        <v>350.0</v>
      </c>
      <c r="C22" s="14">
        <v>6275.0</v>
      </c>
      <c r="D22" s="14">
        <v>51800.0</v>
      </c>
      <c r="E22" s="14">
        <v>383.0</v>
      </c>
      <c r="F22" s="15">
        <f t="shared" si="1"/>
        <v>21</v>
      </c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</row>
    <row r="23" ht="19.5" customHeight="1">
      <c r="A23" s="12">
        <v>43739.0</v>
      </c>
      <c r="B23" s="13">
        <v>136.0</v>
      </c>
      <c r="C23" s="14">
        <v>6085.0</v>
      </c>
      <c r="D23" s="14">
        <v>52972.0</v>
      </c>
      <c r="E23" s="14">
        <v>492.0</v>
      </c>
      <c r="F23" s="15">
        <f t="shared" si="1"/>
        <v>22</v>
      </c>
      <c r="G23" s="11"/>
      <c r="H23" s="11"/>
      <c r="I23" s="6"/>
      <c r="J23" s="6"/>
      <c r="K23" s="6"/>
      <c r="L23" s="6"/>
      <c r="M23" s="6"/>
      <c r="N23" s="6"/>
      <c r="O23" s="6"/>
      <c r="P23" s="6"/>
      <c r="Q23" s="6"/>
    </row>
    <row r="24" ht="19.5" customHeight="1">
      <c r="A24" s="12">
        <v>43770.0</v>
      </c>
      <c r="B24" s="13">
        <v>220.0</v>
      </c>
      <c r="C24" s="14">
        <v>7398.0</v>
      </c>
      <c r="D24" s="14">
        <v>53906.0</v>
      </c>
      <c r="E24" s="14">
        <v>442.0</v>
      </c>
      <c r="F24" s="15">
        <f t="shared" si="1"/>
        <v>23</v>
      </c>
      <c r="G24" s="11"/>
      <c r="H24" s="11"/>
      <c r="I24" s="6"/>
      <c r="J24" s="6"/>
      <c r="K24" s="6"/>
      <c r="L24" s="6"/>
      <c r="M24" s="6"/>
      <c r="N24" s="6"/>
      <c r="O24" s="6"/>
      <c r="P24" s="6"/>
      <c r="Q24" s="6"/>
    </row>
    <row r="25" ht="19.5" customHeight="1">
      <c r="A25" s="12">
        <v>43800.0</v>
      </c>
      <c r="B25" s="13">
        <v>319.0</v>
      </c>
      <c r="C25" s="14">
        <v>8093.0</v>
      </c>
      <c r="D25" s="14">
        <v>54726.0</v>
      </c>
      <c r="E25" s="14">
        <v>535.0</v>
      </c>
      <c r="F25" s="15">
        <f t="shared" si="1"/>
        <v>24</v>
      </c>
      <c r="G25" s="11"/>
      <c r="H25" s="11"/>
      <c r="I25" s="6"/>
      <c r="J25" s="6"/>
      <c r="K25" s="6"/>
      <c r="L25" s="6"/>
      <c r="M25" s="6"/>
      <c r="N25" s="6"/>
      <c r="O25" s="6"/>
      <c r="P25" s="6"/>
      <c r="Q25" s="6"/>
    </row>
    <row r="26" ht="19.5" customHeight="1">
      <c r="A26" s="12">
        <v>43831.0</v>
      </c>
      <c r="B26" s="13">
        <v>215.0</v>
      </c>
      <c r="C26" s="14">
        <v>7746.0</v>
      </c>
      <c r="D26" s="14">
        <v>53710.0</v>
      </c>
      <c r="E26" s="14">
        <v>428.0</v>
      </c>
      <c r="F26" s="15">
        <f t="shared" si="1"/>
        <v>25</v>
      </c>
      <c r="G26" s="11"/>
      <c r="H26" s="11"/>
      <c r="I26" s="6"/>
      <c r="J26" s="6"/>
      <c r="K26" s="6"/>
      <c r="L26" s="6"/>
      <c r="M26" s="6"/>
      <c r="N26" s="6"/>
      <c r="O26" s="6"/>
      <c r="P26" s="6"/>
      <c r="Q26" s="6"/>
    </row>
    <row r="27" ht="19.5" customHeight="1">
      <c r="A27" s="12">
        <v>43862.0</v>
      </c>
      <c r="B27" s="13">
        <v>190.0</v>
      </c>
      <c r="C27" s="14">
        <v>7587.0</v>
      </c>
      <c r="D27" s="14">
        <v>49090.0</v>
      </c>
      <c r="E27" s="14">
        <v>404.0</v>
      </c>
      <c r="F27" s="15">
        <f t="shared" si="1"/>
        <v>26</v>
      </c>
      <c r="G27" s="11"/>
      <c r="H27" s="11"/>
      <c r="I27" s="6"/>
      <c r="J27" s="6"/>
      <c r="K27" s="6"/>
      <c r="L27" s="6"/>
      <c r="M27" s="6"/>
      <c r="N27" s="6"/>
      <c r="O27" s="6"/>
      <c r="P27" s="6"/>
      <c r="Q27" s="6"/>
    </row>
    <row r="28" ht="19.5" customHeight="1">
      <c r="A28" s="12">
        <v>43891.0</v>
      </c>
      <c r="B28" s="13">
        <v>217.0</v>
      </c>
      <c r="C28" s="14">
        <v>9287.0</v>
      </c>
      <c r="D28" s="14">
        <v>57682.0</v>
      </c>
      <c r="E28" s="14">
        <v>671.0</v>
      </c>
      <c r="F28" s="15">
        <f t="shared" si="1"/>
        <v>27</v>
      </c>
      <c r="G28" s="11"/>
      <c r="H28" s="11"/>
      <c r="I28" s="6"/>
      <c r="J28" s="6"/>
      <c r="K28" s="6"/>
      <c r="L28" s="6"/>
      <c r="M28" s="6"/>
      <c r="N28" s="6"/>
      <c r="O28" s="6"/>
      <c r="P28" s="6"/>
      <c r="Q28" s="6"/>
    </row>
    <row r="29" ht="19.5" customHeight="1">
      <c r="A29" s="12">
        <v>43922.0</v>
      </c>
      <c r="B29" s="13">
        <v>465.0</v>
      </c>
      <c r="C29" s="14">
        <v>9129.0</v>
      </c>
      <c r="D29" s="14">
        <v>51954.0</v>
      </c>
      <c r="E29" s="14">
        <v>497.0</v>
      </c>
      <c r="F29" s="15">
        <f t="shared" si="1"/>
        <v>28</v>
      </c>
      <c r="G29" s="11"/>
      <c r="H29" s="11"/>
      <c r="I29" s="6"/>
      <c r="J29" s="6"/>
      <c r="K29" s="6"/>
      <c r="L29" s="6"/>
      <c r="M29" s="6"/>
      <c r="N29" s="6"/>
      <c r="O29" s="6"/>
      <c r="P29" s="6"/>
      <c r="Q29" s="6"/>
    </row>
    <row r="30" ht="19.5" customHeight="1">
      <c r="A30" s="12">
        <v>43952.0</v>
      </c>
      <c r="B30" s="13">
        <v>429.0</v>
      </c>
      <c r="C30" s="14">
        <v>8240.0</v>
      </c>
      <c r="D30" s="14">
        <v>57929.0</v>
      </c>
      <c r="E30" s="14">
        <v>422.0</v>
      </c>
      <c r="F30" s="15">
        <f t="shared" si="1"/>
        <v>29</v>
      </c>
      <c r="G30" s="11"/>
      <c r="H30" s="11"/>
      <c r="I30" s="6"/>
      <c r="J30" s="6"/>
      <c r="K30" s="6"/>
      <c r="L30" s="6"/>
      <c r="M30" s="6"/>
      <c r="N30" s="6"/>
      <c r="O30" s="6"/>
      <c r="P30" s="6"/>
      <c r="Q30" s="6"/>
    </row>
    <row r="31" ht="19.5" customHeight="1">
      <c r="A31" s="12">
        <v>43983.0</v>
      </c>
      <c r="B31" s="13">
        <v>291.0</v>
      </c>
      <c r="C31" s="14">
        <v>6734.0</v>
      </c>
      <c r="D31" s="14">
        <v>52026.0</v>
      </c>
      <c r="E31" s="14">
        <v>554.0</v>
      </c>
      <c r="F31" s="15">
        <f t="shared" si="1"/>
        <v>30</v>
      </c>
      <c r="G31" s="11"/>
      <c r="H31" s="11"/>
      <c r="I31" s="6"/>
      <c r="J31" s="6"/>
      <c r="K31" s="6"/>
      <c r="L31" s="6"/>
      <c r="M31" s="6"/>
      <c r="N31" s="6"/>
      <c r="O31" s="6"/>
      <c r="P31" s="6"/>
      <c r="Q31" s="6"/>
    </row>
    <row r="32" ht="19.5" customHeight="1">
      <c r="A32" s="12">
        <v>44013.0</v>
      </c>
      <c r="B32" s="13">
        <v>249.0</v>
      </c>
      <c r="C32" s="14">
        <v>6721.0</v>
      </c>
      <c r="D32" s="14">
        <v>49260.0</v>
      </c>
      <c r="E32" s="14">
        <v>435.0</v>
      </c>
      <c r="F32" s="15">
        <f t="shared" si="1"/>
        <v>31</v>
      </c>
      <c r="G32" s="11"/>
      <c r="H32" s="11"/>
      <c r="I32" s="6"/>
      <c r="J32" s="6"/>
      <c r="K32" s="6"/>
      <c r="L32" s="6"/>
      <c r="M32" s="6"/>
      <c r="N32" s="6"/>
      <c r="O32" s="6"/>
      <c r="P32" s="6"/>
      <c r="Q32" s="6"/>
    </row>
    <row r="33" ht="19.5" customHeight="1">
      <c r="A33" s="12">
        <v>44044.0</v>
      </c>
      <c r="B33" s="13">
        <v>416.0</v>
      </c>
      <c r="C33" s="14">
        <v>6529.0</v>
      </c>
      <c r="D33" s="14">
        <v>47999.0</v>
      </c>
      <c r="E33" s="14">
        <v>503.0</v>
      </c>
      <c r="F33" s="15">
        <f t="shared" si="1"/>
        <v>32</v>
      </c>
      <c r="G33" s="11"/>
      <c r="H33" s="11"/>
      <c r="I33" s="6"/>
      <c r="J33" s="6"/>
      <c r="K33" s="6"/>
      <c r="L33" s="6"/>
      <c r="M33" s="6"/>
      <c r="N33" s="6"/>
      <c r="O33" s="6"/>
      <c r="P33" s="6"/>
      <c r="Q33" s="6"/>
    </row>
    <row r="34" ht="19.5" customHeight="1">
      <c r="A34" s="12">
        <v>44075.0</v>
      </c>
      <c r="B34" s="13">
        <v>434.0</v>
      </c>
      <c r="C34" s="14">
        <v>8275.0</v>
      </c>
      <c r="D34" s="14">
        <v>40889.0</v>
      </c>
      <c r="E34" s="14">
        <v>457.0</v>
      </c>
      <c r="F34" s="15">
        <f t="shared" si="1"/>
        <v>33</v>
      </c>
      <c r="G34" s="11"/>
      <c r="H34" s="11"/>
      <c r="I34" s="6"/>
      <c r="J34" s="6"/>
      <c r="K34" s="6"/>
      <c r="L34" s="6"/>
      <c r="M34" s="6"/>
      <c r="N34" s="6"/>
      <c r="O34" s="6"/>
      <c r="P34" s="6"/>
      <c r="Q34" s="6"/>
    </row>
    <row r="35" ht="19.5" customHeight="1">
      <c r="A35" s="12">
        <v>44105.0</v>
      </c>
      <c r="B35" s="13">
        <v>268.0</v>
      </c>
      <c r="C35" s="14">
        <v>7724.0</v>
      </c>
      <c r="D35" s="14">
        <v>29559.0</v>
      </c>
      <c r="E35" s="14">
        <v>326.0</v>
      </c>
      <c r="F35" s="15">
        <f t="shared" si="1"/>
        <v>34</v>
      </c>
      <c r="G35" s="11"/>
      <c r="H35" s="11"/>
      <c r="I35" s="6"/>
      <c r="J35" s="6"/>
      <c r="K35" s="6"/>
      <c r="L35" s="6"/>
      <c r="M35" s="6"/>
      <c r="N35" s="6"/>
      <c r="O35" s="6"/>
      <c r="P35" s="6"/>
      <c r="Q35" s="6"/>
    </row>
    <row r="36" ht="19.5" customHeight="1">
      <c r="A36" s="12">
        <v>44136.0</v>
      </c>
      <c r="B36" s="13">
        <v>246.0</v>
      </c>
      <c r="C36" s="14">
        <v>4166.0</v>
      </c>
      <c r="D36" s="14">
        <v>25965.0</v>
      </c>
      <c r="E36" s="14">
        <v>257.0</v>
      </c>
      <c r="F36" s="15">
        <f t="shared" si="1"/>
        <v>35</v>
      </c>
      <c r="G36" s="11"/>
      <c r="H36" s="11"/>
      <c r="I36" s="6"/>
      <c r="J36" s="6"/>
      <c r="K36" s="6"/>
      <c r="L36" s="6"/>
      <c r="M36" s="6"/>
      <c r="N36" s="6"/>
      <c r="O36" s="6"/>
      <c r="P36" s="6"/>
      <c r="Q36" s="6"/>
    </row>
    <row r="37" ht="19.5" customHeight="1">
      <c r="A37" s="12">
        <v>44166.0</v>
      </c>
      <c r="B37" s="13">
        <v>309.0</v>
      </c>
      <c r="C37" s="14">
        <v>7893.0</v>
      </c>
      <c r="D37" s="14">
        <v>49752.0</v>
      </c>
      <c r="E37" s="14">
        <v>1117.0</v>
      </c>
      <c r="F37" s="15">
        <f t="shared" si="1"/>
        <v>36</v>
      </c>
      <c r="G37" s="11"/>
      <c r="H37" s="11"/>
      <c r="I37" s="6"/>
      <c r="J37" s="6"/>
      <c r="K37" s="6"/>
      <c r="L37" s="6"/>
      <c r="M37" s="6"/>
      <c r="N37" s="6"/>
      <c r="O37" s="6"/>
      <c r="P37" s="6"/>
      <c r="Q37" s="6"/>
    </row>
    <row r="38" ht="19.5" customHeight="1">
      <c r="A38" s="12">
        <v>44197.0</v>
      </c>
      <c r="B38" s="13">
        <v>418.0</v>
      </c>
      <c r="C38" s="14">
        <v>5500.0</v>
      </c>
      <c r="D38" s="14">
        <v>25172.0</v>
      </c>
      <c r="E38" s="14">
        <v>298.0</v>
      </c>
      <c r="F38" s="15">
        <f t="shared" si="1"/>
        <v>37</v>
      </c>
      <c r="G38" s="11"/>
      <c r="H38" s="11"/>
      <c r="I38" s="6"/>
      <c r="J38" s="6"/>
      <c r="K38" s="6"/>
      <c r="L38" s="6"/>
      <c r="M38" s="6"/>
      <c r="N38" s="6"/>
      <c r="O38" s="6"/>
      <c r="P38" s="6"/>
      <c r="Q38" s="6"/>
    </row>
    <row r="39" ht="19.5" customHeight="1">
      <c r="A39" s="12">
        <v>44228.0</v>
      </c>
      <c r="B39" s="13">
        <v>730.0</v>
      </c>
      <c r="C39" s="14">
        <v>5685.0</v>
      </c>
      <c r="D39" s="14">
        <v>13673.0</v>
      </c>
      <c r="E39" s="14">
        <v>146.0</v>
      </c>
      <c r="F39" s="15">
        <f t="shared" si="1"/>
        <v>38</v>
      </c>
      <c r="G39" s="11"/>
      <c r="H39" s="11"/>
      <c r="I39" s="6"/>
      <c r="J39" s="6"/>
      <c r="K39" s="6"/>
      <c r="L39" s="6"/>
      <c r="M39" s="6"/>
      <c r="N39" s="6"/>
      <c r="O39" s="6"/>
      <c r="P39" s="6"/>
      <c r="Q39" s="6"/>
    </row>
    <row r="40" ht="19.5" customHeight="1">
      <c r="A40" s="12">
        <v>44256.0</v>
      </c>
      <c r="B40" s="13">
        <v>533.0</v>
      </c>
      <c r="C40" s="14">
        <v>10195.0</v>
      </c>
      <c r="D40" s="14">
        <v>30310.0</v>
      </c>
      <c r="E40" s="14">
        <v>347.0</v>
      </c>
      <c r="F40" s="15">
        <f t="shared" si="1"/>
        <v>39</v>
      </c>
      <c r="G40" s="11"/>
      <c r="H40" s="11"/>
      <c r="I40" s="6"/>
      <c r="J40" s="6"/>
      <c r="K40" s="6"/>
      <c r="L40" s="6"/>
      <c r="M40" s="6"/>
      <c r="N40" s="6"/>
      <c r="O40" s="6"/>
      <c r="P40" s="6"/>
      <c r="Q40" s="6"/>
    </row>
    <row r="41" ht="19.5" customHeight="1">
      <c r="A41" s="12">
        <v>44287.0</v>
      </c>
      <c r="B41" s="13">
        <v>417.0</v>
      </c>
      <c r="C41" s="14">
        <v>10385.0</v>
      </c>
      <c r="D41" s="14">
        <v>29722.0</v>
      </c>
      <c r="E41" s="14">
        <v>341.0</v>
      </c>
      <c r="F41" s="15">
        <f t="shared" si="1"/>
        <v>40</v>
      </c>
      <c r="G41" s="11"/>
      <c r="H41" s="11"/>
      <c r="I41" s="6"/>
      <c r="J41" s="6"/>
      <c r="K41" s="6"/>
      <c r="L41" s="6"/>
      <c r="M41" s="6"/>
      <c r="N41" s="6"/>
      <c r="O41" s="6"/>
      <c r="P41" s="6"/>
      <c r="Q41" s="6"/>
    </row>
    <row r="42" ht="19.5" customHeight="1">
      <c r="A42" s="12">
        <v>44317.0</v>
      </c>
      <c r="B42" s="13">
        <v>267.0</v>
      </c>
      <c r="C42" s="14">
        <v>10511.0</v>
      </c>
      <c r="D42" s="14">
        <v>28809.0</v>
      </c>
      <c r="E42" s="14">
        <v>378.0</v>
      </c>
      <c r="F42" s="15">
        <f t="shared" si="1"/>
        <v>41</v>
      </c>
      <c r="G42" s="11"/>
      <c r="H42" s="11"/>
      <c r="I42" s="6"/>
      <c r="J42" s="6"/>
      <c r="K42" s="6"/>
      <c r="L42" s="6"/>
      <c r="M42" s="6"/>
      <c r="N42" s="6"/>
      <c r="O42" s="6"/>
      <c r="P42" s="6"/>
      <c r="Q42" s="6"/>
    </row>
    <row r="43" ht="19.5" customHeight="1">
      <c r="A43" s="12">
        <v>44348.0</v>
      </c>
      <c r="B43" s="13">
        <v>386.0</v>
      </c>
      <c r="C43" s="14">
        <v>10723.0</v>
      </c>
      <c r="D43" s="14">
        <v>26882.0</v>
      </c>
      <c r="E43" s="14">
        <v>512.0</v>
      </c>
      <c r="F43" s="15">
        <f t="shared" si="1"/>
        <v>42</v>
      </c>
      <c r="G43" s="11"/>
      <c r="H43" s="11"/>
      <c r="I43" s="6"/>
      <c r="J43" s="6"/>
      <c r="K43" s="6"/>
      <c r="L43" s="6"/>
      <c r="M43" s="6"/>
      <c r="N43" s="6"/>
      <c r="O43" s="6"/>
      <c r="P43" s="6"/>
      <c r="Q43" s="6"/>
    </row>
    <row r="44" ht="19.5" customHeight="1">
      <c r="A44" s="12">
        <v>44378.0</v>
      </c>
      <c r="B44" s="13">
        <v>319.0</v>
      </c>
      <c r="C44" s="14">
        <v>9713.0</v>
      </c>
      <c r="D44" s="14">
        <v>30216.0</v>
      </c>
      <c r="E44" s="14">
        <v>657.0</v>
      </c>
      <c r="F44" s="15">
        <f t="shared" si="1"/>
        <v>43</v>
      </c>
      <c r="G44" s="11"/>
      <c r="H44" s="11"/>
      <c r="I44" s="6"/>
      <c r="J44" s="6"/>
      <c r="K44" s="6"/>
      <c r="L44" s="6"/>
      <c r="M44" s="6"/>
      <c r="N44" s="6"/>
      <c r="O44" s="6"/>
      <c r="P44" s="6"/>
      <c r="Q44" s="6"/>
    </row>
    <row r="45" ht="19.5" customHeight="1">
      <c r="A45" s="12">
        <v>44409.0</v>
      </c>
      <c r="B45" s="13">
        <v>313.0</v>
      </c>
      <c r="C45" s="14">
        <v>7662.0</v>
      </c>
      <c r="D45" s="14">
        <v>28903.0</v>
      </c>
      <c r="E45" s="14">
        <v>471.0</v>
      </c>
      <c r="F45" s="15">
        <f t="shared" si="1"/>
        <v>44</v>
      </c>
      <c r="G45" s="11"/>
      <c r="H45" s="11"/>
      <c r="I45" s="6"/>
      <c r="J45" s="6"/>
      <c r="K45" s="6"/>
      <c r="L45" s="6"/>
      <c r="M45" s="6"/>
      <c r="N45" s="6"/>
      <c r="O45" s="6"/>
      <c r="P45" s="6"/>
      <c r="Q45" s="6"/>
    </row>
    <row r="46" ht="19.5" customHeight="1">
      <c r="A46" s="12">
        <v>44440.0</v>
      </c>
      <c r="B46" s="13">
        <v>347.0</v>
      </c>
      <c r="C46" s="14">
        <v>6779.0</v>
      </c>
      <c r="D46" s="14">
        <v>29560.0</v>
      </c>
      <c r="E46" s="14">
        <v>432.0</v>
      </c>
      <c r="F46" s="15">
        <f t="shared" si="1"/>
        <v>45</v>
      </c>
      <c r="G46" s="11"/>
      <c r="H46" s="11"/>
      <c r="I46" s="6"/>
      <c r="J46" s="6"/>
      <c r="K46" s="6"/>
      <c r="L46" s="6"/>
      <c r="M46" s="6"/>
      <c r="N46" s="6"/>
      <c r="O46" s="6"/>
      <c r="P46" s="6"/>
      <c r="Q46" s="6"/>
    </row>
    <row r="47" ht="19.5" customHeight="1">
      <c r="A47" s="12">
        <v>44470.0</v>
      </c>
      <c r="B47" s="13">
        <v>424.0</v>
      </c>
      <c r="C47" s="14">
        <v>6879.0</v>
      </c>
      <c r="D47" s="14">
        <v>28767.0</v>
      </c>
      <c r="E47" s="14">
        <v>438.0</v>
      </c>
      <c r="F47" s="15">
        <f t="shared" si="1"/>
        <v>46</v>
      </c>
      <c r="G47" s="11"/>
      <c r="H47" s="11"/>
      <c r="I47" s="6"/>
      <c r="J47" s="6"/>
      <c r="K47" s="6"/>
      <c r="L47" s="6"/>
      <c r="M47" s="6"/>
      <c r="N47" s="6"/>
      <c r="O47" s="6"/>
      <c r="P47" s="6"/>
      <c r="Q47" s="6"/>
    </row>
    <row r="48" ht="19.5" customHeight="1">
      <c r="A48" s="12">
        <v>44501.0</v>
      </c>
      <c r="B48" s="13">
        <v>248.0</v>
      </c>
      <c r="C48" s="14">
        <v>4671.0</v>
      </c>
      <c r="D48" s="14">
        <v>23740.0</v>
      </c>
      <c r="E48" s="14">
        <v>425.0</v>
      </c>
      <c r="F48" s="15">
        <f t="shared" si="1"/>
        <v>47</v>
      </c>
      <c r="G48" s="11"/>
      <c r="H48" s="11"/>
      <c r="I48" s="6"/>
      <c r="J48" s="6"/>
      <c r="K48" s="6"/>
      <c r="L48" s="6"/>
      <c r="M48" s="6"/>
      <c r="N48" s="6"/>
      <c r="O48" s="6"/>
      <c r="P48" s="6"/>
      <c r="Q48" s="6"/>
    </row>
    <row r="49" ht="19.5" customHeight="1">
      <c r="A49" s="12">
        <v>44531.0</v>
      </c>
      <c r="B49" s="13">
        <v>444.0</v>
      </c>
      <c r="C49" s="14">
        <v>4501.0</v>
      </c>
      <c r="D49" s="14">
        <v>24295.0</v>
      </c>
      <c r="E49" s="14">
        <v>364.0</v>
      </c>
      <c r="F49" s="15">
        <f t="shared" si="1"/>
        <v>48</v>
      </c>
      <c r="G49" s="11"/>
      <c r="H49" s="11"/>
      <c r="I49" s="6"/>
      <c r="J49" s="6"/>
      <c r="K49" s="6"/>
      <c r="L49" s="6"/>
      <c r="M49" s="6"/>
      <c r="N49" s="6"/>
      <c r="O49" s="6"/>
      <c r="P49" s="6"/>
      <c r="Q49" s="6"/>
    </row>
    <row r="50" ht="19.5" customHeight="1">
      <c r="A50" s="12">
        <v>44562.0</v>
      </c>
      <c r="B50" s="13">
        <v>373.0</v>
      </c>
      <c r="C50" s="14">
        <v>5009.0</v>
      </c>
      <c r="D50" s="14">
        <v>27162.0</v>
      </c>
      <c r="E50" s="14">
        <v>383.0</v>
      </c>
      <c r="F50" s="15">
        <f t="shared" si="1"/>
        <v>49</v>
      </c>
      <c r="G50" s="11"/>
      <c r="H50" s="11"/>
      <c r="I50" s="6"/>
      <c r="J50" s="6"/>
      <c r="K50" s="6"/>
      <c r="L50" s="6"/>
      <c r="M50" s="6"/>
      <c r="N50" s="6"/>
      <c r="O50" s="6"/>
      <c r="P50" s="6"/>
      <c r="Q50" s="6"/>
    </row>
    <row r="51" ht="19.5" customHeight="1">
      <c r="A51" s="12">
        <v>44593.0</v>
      </c>
      <c r="B51" s="13">
        <v>377.0</v>
      </c>
      <c r="C51" s="14">
        <v>5279.0</v>
      </c>
      <c r="D51" s="14">
        <v>17826.0</v>
      </c>
      <c r="E51" s="14">
        <v>452.0</v>
      </c>
      <c r="F51" s="15">
        <f t="shared" si="1"/>
        <v>50</v>
      </c>
      <c r="G51" s="11"/>
      <c r="H51" s="11"/>
      <c r="I51" s="6"/>
      <c r="J51" s="6"/>
      <c r="K51" s="6"/>
      <c r="L51" s="6"/>
      <c r="M51" s="6"/>
      <c r="N51" s="6"/>
      <c r="O51" s="6"/>
      <c r="P51" s="6"/>
      <c r="Q51" s="6"/>
    </row>
    <row r="52" ht="19.5" customHeight="1">
      <c r="A52" s="12">
        <v>44621.0</v>
      </c>
      <c r="B52" s="13">
        <v>513.0</v>
      </c>
      <c r="C52" s="14">
        <v>5615.0</v>
      </c>
      <c r="D52" s="14">
        <v>21407.0</v>
      </c>
      <c r="E52" s="14">
        <v>328.0</v>
      </c>
      <c r="F52" s="15">
        <f t="shared" si="1"/>
        <v>51</v>
      </c>
      <c r="G52" s="11"/>
      <c r="H52" s="11"/>
      <c r="I52" s="6"/>
      <c r="J52" s="6"/>
      <c r="K52" s="6"/>
      <c r="L52" s="6"/>
      <c r="M52" s="6"/>
      <c r="N52" s="6"/>
      <c r="O52" s="6"/>
      <c r="P52" s="6"/>
      <c r="Q52" s="6"/>
    </row>
    <row r="53" ht="19.5" customHeight="1">
      <c r="A53" s="12">
        <v>44652.0</v>
      </c>
      <c r="B53" s="13">
        <v>413.0</v>
      </c>
      <c r="C53" s="14">
        <v>6943.0</v>
      </c>
      <c r="D53" s="14">
        <v>26011.0</v>
      </c>
      <c r="E53" s="14">
        <v>506.0</v>
      </c>
      <c r="F53" s="15">
        <f t="shared" si="1"/>
        <v>52</v>
      </c>
      <c r="G53" s="11"/>
      <c r="H53" s="11"/>
      <c r="I53" s="6"/>
      <c r="J53" s="6"/>
      <c r="K53" s="6"/>
      <c r="L53" s="6"/>
      <c r="M53" s="6"/>
      <c r="N53" s="6"/>
      <c r="O53" s="6"/>
      <c r="P53" s="6"/>
      <c r="Q53" s="6"/>
    </row>
    <row r="54" ht="19.5" customHeight="1">
      <c r="A54" s="12">
        <v>44682.0</v>
      </c>
      <c r="B54" s="13">
        <v>390.0</v>
      </c>
      <c r="C54" s="14">
        <v>6123.0</v>
      </c>
      <c r="D54" s="14">
        <v>33151.0</v>
      </c>
      <c r="E54" s="14">
        <v>791.0</v>
      </c>
      <c r="F54" s="15">
        <f t="shared" si="1"/>
        <v>53</v>
      </c>
      <c r="G54" s="11"/>
      <c r="H54" s="11"/>
      <c r="I54" s="6"/>
      <c r="J54" s="6"/>
      <c r="K54" s="6"/>
      <c r="L54" s="6"/>
      <c r="M54" s="6"/>
      <c r="N54" s="6"/>
      <c r="O54" s="6"/>
      <c r="P54" s="6"/>
      <c r="Q54" s="6"/>
    </row>
    <row r="55" ht="19.5" customHeight="1">
      <c r="A55" s="12">
        <v>44713.0</v>
      </c>
      <c r="B55" s="13">
        <v>324.0</v>
      </c>
      <c r="C55" s="14">
        <v>4513.0</v>
      </c>
      <c r="D55" s="14">
        <v>28706.0</v>
      </c>
      <c r="E55" s="14">
        <v>539.0</v>
      </c>
      <c r="F55" s="15">
        <f t="shared" si="1"/>
        <v>54</v>
      </c>
      <c r="G55" s="11"/>
      <c r="H55" s="11"/>
      <c r="I55" s="6"/>
      <c r="J55" s="6"/>
      <c r="K55" s="6"/>
      <c r="L55" s="6"/>
      <c r="M55" s="6"/>
      <c r="N55" s="6"/>
      <c r="O55" s="6"/>
      <c r="P55" s="6"/>
      <c r="Q55" s="6"/>
    </row>
    <row r="56" ht="19.5" customHeight="1">
      <c r="A56" s="12">
        <v>44743.0</v>
      </c>
      <c r="B56" s="13">
        <v>488.0</v>
      </c>
      <c r="C56" s="14">
        <v>2976.0</v>
      </c>
      <c r="D56" s="14">
        <v>22842.0</v>
      </c>
      <c r="E56" s="14">
        <v>743.0</v>
      </c>
      <c r="F56" s="15">
        <f t="shared" si="1"/>
        <v>55</v>
      </c>
      <c r="G56" s="11"/>
      <c r="H56" s="11"/>
      <c r="I56" s="6"/>
      <c r="J56" s="6"/>
      <c r="K56" s="6"/>
      <c r="L56" s="6"/>
      <c r="M56" s="6"/>
      <c r="N56" s="6"/>
      <c r="O56" s="6"/>
      <c r="P56" s="6"/>
      <c r="Q56" s="6"/>
    </row>
    <row r="57" ht="19.5" customHeight="1">
      <c r="A57" s="12">
        <v>44774.0</v>
      </c>
      <c r="B57" s="13">
        <v>391.0</v>
      </c>
      <c r="C57" s="14">
        <v>3385.0</v>
      </c>
      <c r="D57" s="14">
        <v>26201.0</v>
      </c>
      <c r="E57" s="14">
        <v>1079.0</v>
      </c>
      <c r="F57" s="15">
        <f t="shared" si="1"/>
        <v>56</v>
      </c>
      <c r="G57" s="11"/>
      <c r="H57" s="11"/>
      <c r="I57" s="6"/>
      <c r="J57" s="6"/>
      <c r="K57" s="6"/>
      <c r="L57" s="6"/>
      <c r="M57" s="6"/>
      <c r="N57" s="6"/>
      <c r="O57" s="6"/>
      <c r="P57" s="6"/>
      <c r="Q57" s="6"/>
    </row>
    <row r="58" ht="19.5" customHeight="1">
      <c r="A58" s="12">
        <v>44805.0</v>
      </c>
      <c r="B58" s="13">
        <v>143.0</v>
      </c>
      <c r="C58" s="14">
        <v>1985.0</v>
      </c>
      <c r="D58" s="14">
        <v>20986.0</v>
      </c>
      <c r="E58" s="14">
        <v>634.0</v>
      </c>
      <c r="F58" s="15">
        <f t="shared" si="1"/>
        <v>57</v>
      </c>
      <c r="G58" s="11"/>
      <c r="H58" s="11"/>
      <c r="I58" s="6"/>
      <c r="J58" s="6"/>
      <c r="K58" s="6"/>
      <c r="L58" s="6"/>
      <c r="M58" s="6"/>
      <c r="N58" s="6"/>
      <c r="O58" s="6"/>
      <c r="P58" s="6"/>
      <c r="Q58" s="6"/>
    </row>
    <row r="59" ht="19.5" customHeight="1">
      <c r="A59" s="12">
        <v>44835.0</v>
      </c>
      <c r="B59" s="13">
        <v>472.0</v>
      </c>
      <c r="C59" s="14">
        <v>2435.0</v>
      </c>
      <c r="D59" s="14">
        <v>21764.0</v>
      </c>
      <c r="E59" s="14">
        <v>497.0</v>
      </c>
      <c r="F59" s="15">
        <f t="shared" si="1"/>
        <v>58</v>
      </c>
      <c r="G59" s="11"/>
      <c r="H59" s="11"/>
      <c r="I59" s="6"/>
      <c r="J59" s="6"/>
      <c r="K59" s="6"/>
      <c r="L59" s="6"/>
      <c r="M59" s="6"/>
      <c r="N59" s="6"/>
      <c r="O59" s="6"/>
      <c r="P59" s="6"/>
      <c r="Q59" s="6"/>
    </row>
    <row r="60" ht="19.5" customHeight="1">
      <c r="A60" s="12">
        <v>44866.0</v>
      </c>
      <c r="B60" s="13">
        <v>406.0</v>
      </c>
      <c r="C60" s="14">
        <v>1311.0</v>
      </c>
      <c r="D60" s="14">
        <v>23788.0</v>
      </c>
      <c r="E60" s="14">
        <v>383.0</v>
      </c>
      <c r="F60" s="15">
        <f t="shared" si="1"/>
        <v>59</v>
      </c>
      <c r="G60" s="11"/>
      <c r="H60" s="11"/>
      <c r="I60" s="6"/>
      <c r="J60" s="6"/>
      <c r="K60" s="6"/>
      <c r="L60" s="6"/>
      <c r="M60" s="6"/>
      <c r="N60" s="6"/>
      <c r="O60" s="6"/>
      <c r="P60" s="6"/>
      <c r="Q60" s="6"/>
    </row>
    <row r="61" ht="19.5" customHeight="1">
      <c r="A61" s="12">
        <v>44896.0</v>
      </c>
      <c r="B61" s="13">
        <v>511.0</v>
      </c>
      <c r="C61" s="14">
        <v>8018.0</v>
      </c>
      <c r="D61" s="14">
        <v>19408.0</v>
      </c>
      <c r="E61" s="14">
        <v>359.0</v>
      </c>
      <c r="F61" s="15">
        <f t="shared" si="1"/>
        <v>60</v>
      </c>
      <c r="G61" s="11"/>
      <c r="H61" s="11"/>
      <c r="I61" s="6"/>
      <c r="J61" s="6"/>
      <c r="K61" s="6"/>
      <c r="L61" s="6"/>
      <c r="M61" s="6"/>
      <c r="N61" s="6"/>
      <c r="O61" s="6"/>
      <c r="P61" s="6"/>
      <c r="Q61" s="6"/>
    </row>
    <row r="62" ht="19.5" customHeight="1">
      <c r="A62" s="12">
        <v>44927.0</v>
      </c>
      <c r="B62" s="13">
        <v>242.0</v>
      </c>
      <c r="C62" s="14">
        <v>5946.0</v>
      </c>
      <c r="D62" s="14">
        <v>20433.0</v>
      </c>
      <c r="E62" s="14">
        <v>300.0</v>
      </c>
      <c r="F62" s="15">
        <f t="shared" si="1"/>
        <v>61</v>
      </c>
      <c r="G62" s="11"/>
      <c r="H62" s="11"/>
      <c r="I62" s="6"/>
      <c r="J62" s="6"/>
      <c r="K62" s="6"/>
      <c r="L62" s="6"/>
      <c r="M62" s="6"/>
      <c r="N62" s="6"/>
      <c r="O62" s="6"/>
      <c r="P62" s="6"/>
      <c r="Q62" s="6"/>
    </row>
    <row r="63" ht="19.5" customHeight="1">
      <c r="A63" s="12">
        <v>44958.0</v>
      </c>
      <c r="B63" s="13">
        <v>86.0</v>
      </c>
      <c r="C63" s="14">
        <v>2863.0</v>
      </c>
      <c r="D63" s="14">
        <v>14158.0</v>
      </c>
      <c r="E63" s="14">
        <v>97.0</v>
      </c>
      <c r="F63" s="15">
        <f t="shared" si="1"/>
        <v>62</v>
      </c>
      <c r="G63" s="11"/>
      <c r="H63" s="11"/>
      <c r="I63" s="6"/>
      <c r="J63" s="6"/>
      <c r="K63" s="6"/>
      <c r="L63" s="6"/>
      <c r="M63" s="6"/>
      <c r="N63" s="6"/>
      <c r="O63" s="6"/>
      <c r="P63" s="6"/>
      <c r="Q63" s="6"/>
    </row>
    <row r="64" ht="19.5" customHeight="1">
      <c r="A64" s="12">
        <v>44986.0</v>
      </c>
      <c r="B64" s="13">
        <v>259.0</v>
      </c>
      <c r="C64" s="14">
        <v>3340.0</v>
      </c>
      <c r="D64" s="14">
        <v>19778.0</v>
      </c>
      <c r="E64" s="14">
        <v>261.0</v>
      </c>
      <c r="F64" s="15">
        <f t="shared" si="1"/>
        <v>63</v>
      </c>
      <c r="G64" s="11"/>
      <c r="H64" s="11"/>
      <c r="I64" s="6"/>
      <c r="J64" s="6"/>
      <c r="K64" s="6"/>
      <c r="L64" s="6"/>
      <c r="M64" s="6"/>
      <c r="N64" s="6"/>
      <c r="O64" s="6"/>
      <c r="P64" s="6"/>
      <c r="Q64" s="6"/>
    </row>
    <row r="65" ht="19.5" customHeight="1">
      <c r="A65" s="12">
        <v>45017.0</v>
      </c>
      <c r="B65" s="13">
        <v>266.0</v>
      </c>
      <c r="C65" s="14">
        <v>3137.0</v>
      </c>
      <c r="D65" s="14">
        <v>16740.0</v>
      </c>
      <c r="E65" s="14">
        <v>389.0</v>
      </c>
      <c r="F65" s="15">
        <f t="shared" si="1"/>
        <v>64</v>
      </c>
      <c r="G65" s="11"/>
      <c r="H65" s="11"/>
      <c r="I65" s="6"/>
      <c r="J65" s="6"/>
      <c r="K65" s="6"/>
      <c r="L65" s="6"/>
      <c r="M65" s="6"/>
      <c r="N65" s="6"/>
      <c r="O65" s="6"/>
      <c r="P65" s="6"/>
      <c r="Q65" s="6"/>
    </row>
    <row r="66" ht="19.5" customHeight="1">
      <c r="A66" s="12">
        <v>45047.0</v>
      </c>
      <c r="B66" s="13">
        <v>282.0</v>
      </c>
      <c r="C66" s="14">
        <v>5970.0</v>
      </c>
      <c r="D66" s="14">
        <v>23120.0</v>
      </c>
      <c r="E66" s="14">
        <v>412.0</v>
      </c>
      <c r="F66" s="15">
        <f t="shared" si="1"/>
        <v>65</v>
      </c>
      <c r="G66" s="11"/>
      <c r="H66" s="11"/>
      <c r="I66" s="6"/>
      <c r="J66" s="6"/>
      <c r="K66" s="6"/>
      <c r="L66" s="6"/>
      <c r="M66" s="6"/>
      <c r="N66" s="6"/>
      <c r="O66" s="6"/>
      <c r="P66" s="6"/>
      <c r="Q66" s="6"/>
    </row>
    <row r="67" ht="19.5" customHeight="1">
      <c r="A67" s="12">
        <v>45078.0</v>
      </c>
      <c r="B67" s="13">
        <v>180.0</v>
      </c>
      <c r="C67" s="14">
        <v>4983.0</v>
      </c>
      <c r="D67" s="14">
        <v>30415.0</v>
      </c>
      <c r="E67" s="14">
        <v>375.0</v>
      </c>
      <c r="F67" s="15">
        <f t="shared" si="1"/>
        <v>66</v>
      </c>
      <c r="G67" s="11"/>
      <c r="H67" s="11"/>
      <c r="I67" s="6"/>
      <c r="J67" s="6"/>
      <c r="K67" s="6"/>
      <c r="L67" s="6"/>
      <c r="M67" s="6"/>
      <c r="N67" s="6"/>
      <c r="O67" s="6"/>
      <c r="P67" s="6"/>
      <c r="Q67" s="6"/>
    </row>
    <row r="68" ht="19.5" customHeight="1">
      <c r="A68" s="12">
        <v>45108.0</v>
      </c>
      <c r="B68" s="13">
        <v>409.0</v>
      </c>
      <c r="C68" s="14">
        <v>4795.0</v>
      </c>
      <c r="D68" s="14">
        <v>36426.0</v>
      </c>
      <c r="E68" s="14">
        <v>956.0</v>
      </c>
      <c r="F68" s="15">
        <f t="shared" si="1"/>
        <v>67</v>
      </c>
      <c r="G68" s="11"/>
      <c r="H68" s="11"/>
      <c r="I68" s="6"/>
      <c r="J68" s="6"/>
      <c r="K68" s="6"/>
      <c r="L68" s="6"/>
      <c r="M68" s="6"/>
      <c r="N68" s="6"/>
      <c r="O68" s="6"/>
      <c r="P68" s="6"/>
      <c r="Q68" s="6"/>
    </row>
    <row r="69" ht="19.5" customHeight="1">
      <c r="A69" s="12">
        <v>45139.0</v>
      </c>
      <c r="B69" s="13">
        <v>374.0</v>
      </c>
      <c r="C69" s="14">
        <v>4541.0</v>
      </c>
      <c r="D69" s="14">
        <v>31126.0</v>
      </c>
      <c r="E69" s="14">
        <v>923.0</v>
      </c>
      <c r="F69" s="15">
        <f t="shared" si="1"/>
        <v>68</v>
      </c>
      <c r="G69" s="11"/>
      <c r="H69" s="11"/>
      <c r="I69" s="6"/>
      <c r="J69" s="6"/>
      <c r="K69" s="6"/>
      <c r="L69" s="6"/>
      <c r="M69" s="6"/>
      <c r="N69" s="6"/>
      <c r="O69" s="6"/>
      <c r="P69" s="6"/>
      <c r="Q69" s="6"/>
    </row>
    <row r="70" ht="19.5" customHeight="1">
      <c r="A70" s="12">
        <v>45170.0</v>
      </c>
      <c r="B70" s="13">
        <v>464.0</v>
      </c>
      <c r="C70" s="14">
        <v>4268.0</v>
      </c>
      <c r="D70" s="14">
        <v>30124.0</v>
      </c>
      <c r="E70" s="14">
        <v>645.0</v>
      </c>
      <c r="F70" s="15">
        <f t="shared" si="1"/>
        <v>69</v>
      </c>
      <c r="G70" s="11"/>
      <c r="H70" s="11"/>
      <c r="I70" s="6"/>
      <c r="J70" s="6"/>
      <c r="K70" s="6"/>
      <c r="L70" s="6"/>
      <c r="M70" s="6"/>
      <c r="N70" s="6"/>
      <c r="O70" s="6"/>
      <c r="P70" s="6"/>
      <c r="Q70" s="6"/>
    </row>
    <row r="71" ht="19.5" customHeight="1">
      <c r="A71" s="12">
        <v>45200.0</v>
      </c>
      <c r="B71" s="13">
        <v>383.0</v>
      </c>
      <c r="C71" s="14">
        <v>6155.0</v>
      </c>
      <c r="D71" s="14">
        <v>30905.0</v>
      </c>
      <c r="E71" s="14">
        <v>284.0</v>
      </c>
      <c r="F71" s="15">
        <f t="shared" si="1"/>
        <v>70</v>
      </c>
      <c r="G71" s="11"/>
      <c r="H71" s="11"/>
      <c r="I71" s="6"/>
      <c r="J71" s="6"/>
      <c r="K71" s="6"/>
      <c r="L71" s="6"/>
      <c r="M71" s="6"/>
      <c r="N71" s="6"/>
      <c r="O71" s="6"/>
      <c r="P71" s="6"/>
      <c r="Q71" s="6"/>
    </row>
    <row r="72" ht="19.5" customHeight="1">
      <c r="A72" s="12">
        <v>45231.0</v>
      </c>
      <c r="B72" s="13">
        <v>272.0</v>
      </c>
      <c r="C72" s="14">
        <v>2449.0</v>
      </c>
      <c r="D72" s="14">
        <v>5299.0</v>
      </c>
      <c r="E72" s="14">
        <v>152.0</v>
      </c>
      <c r="F72" s="15">
        <f t="shared" si="1"/>
        <v>71</v>
      </c>
      <c r="G72" s="11"/>
      <c r="H72" s="11"/>
      <c r="I72" s="6"/>
      <c r="J72" s="6"/>
      <c r="K72" s="6"/>
      <c r="L72" s="6"/>
      <c r="M72" s="6"/>
      <c r="N72" s="6"/>
      <c r="O72" s="6"/>
      <c r="P72" s="6"/>
      <c r="Q72" s="6"/>
    </row>
    <row r="73" ht="19.5" customHeight="1">
      <c r="A73" s="12">
        <v>45261.0</v>
      </c>
      <c r="B73" s="13">
        <v>170.0</v>
      </c>
      <c r="C73" s="14">
        <v>1908.0</v>
      </c>
      <c r="D73" s="14">
        <v>12612.0</v>
      </c>
      <c r="E73" s="14">
        <v>121.0</v>
      </c>
      <c r="F73" s="15">
        <f t="shared" si="1"/>
        <v>72</v>
      </c>
      <c r="G73" s="11"/>
      <c r="H73" s="11"/>
      <c r="I73" s="6"/>
      <c r="J73" s="6"/>
      <c r="K73" s="6"/>
      <c r="L73" s="6"/>
      <c r="M73" s="6"/>
      <c r="N73" s="6"/>
      <c r="O73" s="6"/>
      <c r="P73" s="6"/>
      <c r="Q73" s="6"/>
    </row>
    <row r="74" ht="19.5" customHeight="1">
      <c r="A74" s="12">
        <v>45292.0</v>
      </c>
      <c r="B74" s="13">
        <v>204.0</v>
      </c>
      <c r="C74" s="14">
        <v>2111.0</v>
      </c>
      <c r="D74" s="14">
        <v>19002.0</v>
      </c>
      <c r="E74" s="14">
        <v>580.0</v>
      </c>
      <c r="F74" s="15">
        <f t="shared" si="1"/>
        <v>73</v>
      </c>
      <c r="G74" s="11"/>
      <c r="H74" s="11"/>
      <c r="I74" s="6"/>
      <c r="J74" s="6"/>
      <c r="K74" s="6"/>
      <c r="L74" s="6"/>
      <c r="M74" s="6"/>
      <c r="N74" s="6"/>
      <c r="O74" s="6"/>
      <c r="P74" s="6"/>
      <c r="Q74" s="6"/>
    </row>
    <row r="75" ht="19.5" customHeight="1">
      <c r="A75" s="12">
        <v>45323.0</v>
      </c>
      <c r="B75" s="13">
        <v>184.0</v>
      </c>
      <c r="C75" s="14">
        <v>2354.0</v>
      </c>
      <c r="D75" s="14">
        <v>25314.0</v>
      </c>
      <c r="E75" s="14">
        <v>325.0</v>
      </c>
      <c r="F75" s="15">
        <f t="shared" si="1"/>
        <v>74</v>
      </c>
      <c r="G75" s="11"/>
      <c r="H75" s="11"/>
      <c r="I75" s="6"/>
      <c r="J75" s="6"/>
      <c r="K75" s="6"/>
      <c r="L75" s="6"/>
      <c r="M75" s="6"/>
      <c r="N75" s="6"/>
      <c r="O75" s="6"/>
      <c r="P75" s="6"/>
      <c r="Q75" s="6"/>
    </row>
    <row r="76" ht="19.5" customHeight="1">
      <c r="A76" s="12">
        <v>45352.0</v>
      </c>
      <c r="B76" s="13">
        <v>476.0</v>
      </c>
      <c r="C76" s="14">
        <v>3040.0</v>
      </c>
      <c r="D76" s="14">
        <v>23769.0</v>
      </c>
      <c r="E76" s="14">
        <v>387.0</v>
      </c>
      <c r="F76" s="15">
        <f t="shared" si="1"/>
        <v>75</v>
      </c>
      <c r="G76" s="11"/>
      <c r="H76" s="11"/>
      <c r="I76" s="6"/>
      <c r="J76" s="6"/>
      <c r="K76" s="6"/>
      <c r="L76" s="6"/>
      <c r="M76" s="6"/>
      <c r="N76" s="6"/>
      <c r="O76" s="6"/>
      <c r="P76" s="6"/>
      <c r="Q76" s="6"/>
    </row>
    <row r="77" ht="19.5" customHeight="1">
      <c r="A77" s="12">
        <v>45383.0</v>
      </c>
      <c r="B77" s="13">
        <v>341.0</v>
      </c>
      <c r="C77" s="14">
        <v>4043.0</v>
      </c>
      <c r="D77" s="14">
        <v>17272.0</v>
      </c>
      <c r="E77" s="14">
        <v>323.0</v>
      </c>
      <c r="F77" s="15">
        <f t="shared" si="1"/>
        <v>76</v>
      </c>
      <c r="G77" s="11"/>
      <c r="H77" s="11"/>
      <c r="I77" s="6"/>
      <c r="J77" s="6"/>
      <c r="K77" s="6"/>
      <c r="L77" s="6"/>
      <c r="M77" s="6"/>
      <c r="N77" s="6"/>
      <c r="O77" s="6"/>
      <c r="P77" s="6"/>
      <c r="Q77" s="6"/>
    </row>
    <row r="78" ht="19.5" customHeight="1">
      <c r="A78" s="12">
        <v>45413.0</v>
      </c>
      <c r="B78" s="13">
        <v>290.0</v>
      </c>
      <c r="C78" s="14">
        <v>4599.0</v>
      </c>
      <c r="D78" s="14">
        <v>10713.0</v>
      </c>
      <c r="E78" s="14">
        <v>273.0</v>
      </c>
      <c r="F78" s="15">
        <f t="shared" si="1"/>
        <v>77</v>
      </c>
      <c r="G78" s="11"/>
      <c r="H78" s="11"/>
      <c r="I78" s="6"/>
      <c r="J78" s="6"/>
      <c r="K78" s="6"/>
      <c r="L78" s="6"/>
      <c r="M78" s="6"/>
      <c r="N78" s="6"/>
      <c r="O78" s="6"/>
      <c r="P78" s="6"/>
      <c r="Q78" s="6"/>
    </row>
    <row r="79" ht="19.5" customHeight="1">
      <c r="A79" s="12">
        <v>45444.0</v>
      </c>
      <c r="B79" s="13">
        <v>255.0</v>
      </c>
      <c r="C79" s="14">
        <v>2113.0</v>
      </c>
      <c r="D79" s="14">
        <v>11924.0</v>
      </c>
      <c r="E79" s="14">
        <v>497.0</v>
      </c>
      <c r="F79" s="15">
        <f t="shared" si="1"/>
        <v>78</v>
      </c>
      <c r="G79" s="11"/>
      <c r="H79" s="11"/>
      <c r="I79" s="6"/>
      <c r="J79" s="6"/>
      <c r="K79" s="6"/>
      <c r="L79" s="6"/>
      <c r="M79" s="6"/>
      <c r="N79" s="6"/>
      <c r="O79" s="6"/>
      <c r="P79" s="6"/>
      <c r="Q79" s="6"/>
    </row>
    <row r="80" ht="19.5" customHeight="1">
      <c r="A80" s="12">
        <v>45474.0</v>
      </c>
      <c r="B80" s="13">
        <v>245.0</v>
      </c>
      <c r="C80" s="14">
        <v>2155.0</v>
      </c>
      <c r="D80" s="14">
        <v>13080.0</v>
      </c>
      <c r="E80" s="14">
        <v>553.0</v>
      </c>
      <c r="F80" s="15">
        <f t="shared" si="1"/>
        <v>79</v>
      </c>
      <c r="G80" s="11"/>
      <c r="H80" s="11"/>
      <c r="I80" s="6"/>
      <c r="J80" s="6"/>
      <c r="K80" s="6"/>
      <c r="L80" s="6"/>
      <c r="M80" s="6"/>
      <c r="N80" s="6"/>
      <c r="O80" s="6"/>
      <c r="P80" s="6"/>
      <c r="Q80" s="6"/>
    </row>
    <row r="81" ht="19.5" customHeight="1">
      <c r="A81" s="12">
        <v>45505.0</v>
      </c>
      <c r="B81" s="13">
        <v>245.0</v>
      </c>
      <c r="C81" s="14">
        <v>2736.0</v>
      </c>
      <c r="D81" s="14">
        <v>19209.0</v>
      </c>
      <c r="E81" s="14">
        <v>352.0</v>
      </c>
      <c r="F81" s="15">
        <f t="shared" si="1"/>
        <v>80</v>
      </c>
      <c r="G81" s="11"/>
      <c r="H81" s="11"/>
      <c r="I81" s="6"/>
      <c r="J81" s="6"/>
      <c r="K81" s="6"/>
      <c r="L81" s="6"/>
      <c r="M81" s="6"/>
      <c r="N81" s="6"/>
      <c r="O81" s="6"/>
      <c r="P81" s="6"/>
      <c r="Q81" s="6"/>
    </row>
    <row r="82" ht="19.5" customHeight="1">
      <c r="A82" s="12">
        <v>45536.0</v>
      </c>
      <c r="B82" s="13">
        <v>144.0</v>
      </c>
      <c r="C82" s="14">
        <v>1887.0</v>
      </c>
      <c r="D82" s="14">
        <v>15758.0</v>
      </c>
      <c r="E82" s="14">
        <v>222.0</v>
      </c>
      <c r="F82" s="15">
        <f t="shared" si="1"/>
        <v>81</v>
      </c>
      <c r="G82" s="11"/>
      <c r="H82" s="11"/>
      <c r="I82" s="6"/>
      <c r="J82" s="6"/>
      <c r="K82" s="6"/>
      <c r="L82" s="6"/>
      <c r="M82" s="6"/>
      <c r="N82" s="6"/>
      <c r="O82" s="6"/>
      <c r="P82" s="6"/>
      <c r="Q82" s="6"/>
    </row>
    <row r="83" ht="19.5" customHeight="1">
      <c r="A83" s="12">
        <v>45566.0</v>
      </c>
      <c r="B83" s="13">
        <v>321.0</v>
      </c>
      <c r="C83" s="14">
        <v>2093.0</v>
      </c>
      <c r="D83" s="14">
        <v>20515.0</v>
      </c>
      <c r="E83" s="14">
        <v>331.0</v>
      </c>
      <c r="F83" s="15">
        <f t="shared" si="1"/>
        <v>82</v>
      </c>
      <c r="G83" s="11"/>
      <c r="H83" s="11"/>
      <c r="I83" s="6"/>
      <c r="J83" s="6"/>
      <c r="K83" s="6"/>
      <c r="L83" s="6"/>
      <c r="M83" s="6"/>
      <c r="N83" s="6"/>
      <c r="O83" s="6"/>
      <c r="P83" s="6"/>
      <c r="Q83" s="6"/>
    </row>
    <row r="84" ht="19.5" customHeight="1">
      <c r="A84" s="12">
        <v>45597.0</v>
      </c>
      <c r="B84" s="13">
        <v>361.0</v>
      </c>
      <c r="C84" s="14">
        <v>2549.0</v>
      </c>
      <c r="D84" s="14">
        <v>14657.0</v>
      </c>
      <c r="E84" s="14">
        <v>252.0</v>
      </c>
      <c r="F84" s="15">
        <f t="shared" si="1"/>
        <v>83</v>
      </c>
      <c r="G84" s="11"/>
      <c r="H84" s="11"/>
      <c r="I84" s="6"/>
      <c r="J84" s="6"/>
      <c r="K84" s="6"/>
      <c r="L84" s="6"/>
      <c r="M84" s="6"/>
      <c r="N84" s="6"/>
      <c r="O84" s="6"/>
      <c r="P84" s="6"/>
      <c r="Q84" s="6"/>
    </row>
    <row r="85" ht="19.5" customHeight="1">
      <c r="A85" s="12">
        <v>45627.0</v>
      </c>
      <c r="B85" s="13">
        <v>265.0</v>
      </c>
      <c r="C85" s="14">
        <v>2478.0</v>
      </c>
      <c r="D85" s="14">
        <v>13121.0</v>
      </c>
      <c r="E85" s="14">
        <v>217.0</v>
      </c>
      <c r="F85" s="15">
        <f t="shared" si="1"/>
        <v>84</v>
      </c>
      <c r="G85" s="11"/>
      <c r="H85" s="11"/>
      <c r="I85" s="6"/>
      <c r="J85" s="6"/>
      <c r="K85" s="6"/>
      <c r="L85" s="6"/>
      <c r="M85" s="6"/>
      <c r="N85" s="6"/>
      <c r="O85" s="6"/>
      <c r="P85" s="6"/>
      <c r="Q85" s="6"/>
    </row>
    <row r="86" ht="19.5" customHeight="1">
      <c r="A86" s="12">
        <v>45658.0</v>
      </c>
      <c r="B86" s="16"/>
      <c r="C86" s="17"/>
      <c r="D86" s="17"/>
      <c r="E86" s="17"/>
      <c r="F86" s="15">
        <f t="shared" si="1"/>
        <v>85</v>
      </c>
      <c r="G86" s="11"/>
      <c r="H86" s="11"/>
      <c r="I86" s="6"/>
      <c r="J86" s="6"/>
      <c r="K86" s="6"/>
      <c r="L86" s="6"/>
      <c r="M86" s="6"/>
      <c r="N86" s="6"/>
      <c r="O86" s="6"/>
      <c r="P86" s="6"/>
      <c r="Q86" s="6"/>
    </row>
    <row r="87" ht="19.5" customHeight="1">
      <c r="A87" s="12">
        <v>45689.0</v>
      </c>
      <c r="B87" s="18"/>
      <c r="C87" s="19"/>
      <c r="D87" s="19"/>
      <c r="E87" s="19"/>
      <c r="F87" s="15">
        <f t="shared" si="1"/>
        <v>86</v>
      </c>
      <c r="G87" s="11"/>
      <c r="H87" s="11"/>
      <c r="I87" s="6"/>
      <c r="J87" s="6"/>
      <c r="K87" s="6"/>
      <c r="L87" s="6"/>
      <c r="M87" s="6"/>
      <c r="N87" s="6"/>
      <c r="O87" s="6"/>
      <c r="P87" s="6"/>
      <c r="Q87" s="6"/>
    </row>
    <row r="88" ht="19.5" customHeight="1">
      <c r="A88" s="12">
        <v>45717.0</v>
      </c>
      <c r="B88" s="16"/>
      <c r="C88" s="17"/>
      <c r="D88" s="17"/>
      <c r="E88" s="17"/>
      <c r="F88" s="15">
        <f t="shared" si="1"/>
        <v>87</v>
      </c>
      <c r="G88" s="11"/>
      <c r="H88" s="11"/>
      <c r="I88" s="6"/>
      <c r="J88" s="6"/>
      <c r="K88" s="6"/>
      <c r="L88" s="6"/>
      <c r="M88" s="6"/>
      <c r="N88" s="6"/>
      <c r="O88" s="6"/>
      <c r="P88" s="6"/>
      <c r="Q88" s="6"/>
    </row>
    <row r="89" ht="19.5" customHeight="1">
      <c r="A89" s="12">
        <v>45748.0</v>
      </c>
      <c r="B89" s="18"/>
      <c r="C89" s="19"/>
      <c r="D89" s="19"/>
      <c r="E89" s="19"/>
      <c r="F89" s="15">
        <f t="shared" si="1"/>
        <v>88</v>
      </c>
      <c r="G89" s="11"/>
      <c r="H89" s="11"/>
      <c r="I89" s="6"/>
      <c r="J89" s="6"/>
      <c r="K89" s="6"/>
      <c r="L89" s="6"/>
      <c r="M89" s="6"/>
      <c r="N89" s="6"/>
      <c r="O89" s="6"/>
      <c r="P89" s="6"/>
      <c r="Q89" s="6"/>
    </row>
    <row r="90" ht="19.5" customHeight="1">
      <c r="A90" s="12">
        <v>45778.0</v>
      </c>
      <c r="B90" s="16"/>
      <c r="C90" s="17"/>
      <c r="D90" s="17"/>
      <c r="E90" s="17"/>
      <c r="F90" s="15">
        <f t="shared" si="1"/>
        <v>89</v>
      </c>
      <c r="G90" s="11"/>
      <c r="H90" s="11"/>
      <c r="I90" s="6"/>
      <c r="J90" s="6"/>
      <c r="K90" s="6"/>
      <c r="L90" s="6"/>
      <c r="M90" s="6"/>
      <c r="N90" s="6"/>
      <c r="O90" s="6"/>
      <c r="P90" s="6"/>
      <c r="Q90" s="6"/>
    </row>
    <row r="91" ht="19.5" customHeight="1">
      <c r="A91" s="12">
        <v>45809.0</v>
      </c>
      <c r="B91" s="18"/>
      <c r="C91" s="19"/>
      <c r="D91" s="19"/>
      <c r="E91" s="19"/>
      <c r="F91" s="15">
        <f t="shared" si="1"/>
        <v>90</v>
      </c>
      <c r="G91" s="11"/>
      <c r="H91" s="11"/>
      <c r="I91" s="6"/>
      <c r="J91" s="6"/>
      <c r="K91" s="6"/>
      <c r="L91" s="6"/>
      <c r="M91" s="6"/>
      <c r="N91" s="6"/>
      <c r="O91" s="6"/>
      <c r="P91" s="6"/>
      <c r="Q91" s="6"/>
    </row>
    <row r="92" ht="19.5" customHeight="1">
      <c r="A92" s="12">
        <v>45839.0</v>
      </c>
      <c r="B92" s="16"/>
      <c r="C92" s="17"/>
      <c r="D92" s="17"/>
      <c r="E92" s="17"/>
      <c r="F92" s="15">
        <f t="shared" si="1"/>
        <v>91</v>
      </c>
      <c r="G92" s="11"/>
      <c r="H92" s="11"/>
      <c r="I92" s="6"/>
      <c r="J92" s="6"/>
      <c r="K92" s="6"/>
      <c r="L92" s="6"/>
      <c r="M92" s="6"/>
      <c r="N92" s="6"/>
      <c r="O92" s="6"/>
      <c r="P92" s="6"/>
      <c r="Q92" s="6"/>
    </row>
    <row r="93" ht="19.5" customHeight="1">
      <c r="A93" s="12">
        <v>45870.0</v>
      </c>
      <c r="B93" s="18"/>
      <c r="C93" s="19"/>
      <c r="D93" s="19"/>
      <c r="E93" s="19"/>
      <c r="F93" s="15">
        <f t="shared" si="1"/>
        <v>92</v>
      </c>
      <c r="G93" s="11"/>
      <c r="H93" s="11"/>
      <c r="I93" s="6"/>
      <c r="J93" s="6"/>
      <c r="K93" s="6"/>
      <c r="L93" s="6"/>
      <c r="M93" s="6"/>
      <c r="N93" s="6"/>
      <c r="O93" s="6"/>
      <c r="P93" s="6"/>
      <c r="Q93" s="6"/>
    </row>
    <row r="94" ht="19.5" customHeight="1">
      <c r="A94" s="12">
        <v>45901.0</v>
      </c>
      <c r="B94" s="16"/>
      <c r="C94" s="17"/>
      <c r="D94" s="17"/>
      <c r="E94" s="17"/>
      <c r="F94" s="15">
        <f t="shared" si="1"/>
        <v>93</v>
      </c>
      <c r="G94" s="11"/>
      <c r="H94" s="11"/>
      <c r="I94" s="6"/>
      <c r="J94" s="6"/>
      <c r="K94" s="6"/>
      <c r="L94" s="6"/>
      <c r="M94" s="6"/>
      <c r="N94" s="6"/>
      <c r="O94" s="6"/>
      <c r="P94" s="6"/>
      <c r="Q94" s="6"/>
    </row>
    <row r="95" ht="19.5" customHeight="1">
      <c r="A95" s="12">
        <v>45931.0</v>
      </c>
      <c r="B95" s="18"/>
      <c r="C95" s="19"/>
      <c r="D95" s="19"/>
      <c r="E95" s="19"/>
      <c r="F95" s="15">
        <f t="shared" si="1"/>
        <v>94</v>
      </c>
      <c r="G95" s="11"/>
      <c r="H95" s="11"/>
      <c r="I95" s="6"/>
      <c r="J95" s="6"/>
      <c r="K95" s="6"/>
      <c r="L95" s="6"/>
      <c r="M95" s="6"/>
      <c r="N95" s="6"/>
      <c r="O95" s="6"/>
      <c r="P95" s="6"/>
      <c r="Q95" s="6"/>
    </row>
    <row r="96" ht="19.5" customHeight="1">
      <c r="A96" s="12">
        <v>45962.0</v>
      </c>
      <c r="B96" s="16"/>
      <c r="C96" s="17"/>
      <c r="D96" s="17"/>
      <c r="E96" s="17"/>
      <c r="F96" s="15">
        <f t="shared" si="1"/>
        <v>95</v>
      </c>
      <c r="G96" s="11"/>
      <c r="H96" s="11"/>
      <c r="I96" s="6"/>
      <c r="J96" s="6"/>
      <c r="K96" s="6"/>
      <c r="L96" s="6"/>
      <c r="M96" s="6"/>
      <c r="N96" s="6"/>
      <c r="O96" s="6"/>
      <c r="P96" s="6"/>
      <c r="Q96" s="6"/>
    </row>
    <row r="97" ht="19.5" customHeight="1">
      <c r="A97" s="12">
        <v>45992.0</v>
      </c>
      <c r="B97" s="18"/>
      <c r="C97" s="19"/>
      <c r="D97" s="19"/>
      <c r="E97" s="19"/>
      <c r="F97" s="15">
        <f t="shared" si="1"/>
        <v>96</v>
      </c>
      <c r="G97" s="11"/>
      <c r="H97" s="11"/>
      <c r="I97" s="6"/>
      <c r="J97" s="6"/>
      <c r="K97" s="6"/>
      <c r="L97" s="6"/>
      <c r="M97" s="6"/>
      <c r="N97" s="6"/>
      <c r="O97" s="6"/>
      <c r="P97" s="6"/>
      <c r="Q97" s="6"/>
    </row>
    <row r="98" ht="19.5" customHeight="1">
      <c r="A98" s="12">
        <v>46023.0</v>
      </c>
      <c r="B98" s="16"/>
      <c r="C98" s="17"/>
      <c r="D98" s="17"/>
      <c r="E98" s="17"/>
      <c r="F98" s="15">
        <f t="shared" si="1"/>
        <v>97</v>
      </c>
      <c r="G98" s="11"/>
      <c r="H98" s="11"/>
      <c r="I98" s="6"/>
      <c r="J98" s="6"/>
      <c r="K98" s="6"/>
      <c r="L98" s="6"/>
      <c r="M98" s="6"/>
      <c r="N98" s="6"/>
      <c r="O98" s="6"/>
      <c r="P98" s="6"/>
      <c r="Q98" s="6"/>
    </row>
    <row r="99" ht="19.5" customHeight="1">
      <c r="A99" s="12">
        <v>46054.0</v>
      </c>
      <c r="B99" s="18"/>
      <c r="C99" s="19"/>
      <c r="D99" s="19"/>
      <c r="E99" s="19"/>
      <c r="F99" s="15">
        <f t="shared" si="1"/>
        <v>98</v>
      </c>
      <c r="G99" s="11"/>
      <c r="H99" s="11"/>
      <c r="I99" s="6"/>
      <c r="J99" s="6"/>
      <c r="K99" s="6"/>
      <c r="L99" s="6"/>
      <c r="M99" s="6"/>
      <c r="N99" s="6"/>
      <c r="O99" s="6"/>
      <c r="P99" s="6"/>
      <c r="Q99" s="6"/>
    </row>
    <row r="100" ht="19.5" customHeight="1">
      <c r="A100" s="12">
        <v>46082.0</v>
      </c>
      <c r="B100" s="16"/>
      <c r="C100" s="17"/>
      <c r="D100" s="17"/>
      <c r="E100" s="17"/>
      <c r="F100" s="15">
        <f t="shared" si="1"/>
        <v>99</v>
      </c>
      <c r="G100" s="11"/>
      <c r="H100" s="11"/>
      <c r="I100" s="6"/>
      <c r="J100" s="6"/>
      <c r="K100" s="6"/>
      <c r="L100" s="6"/>
      <c r="M100" s="6"/>
      <c r="N100" s="6"/>
      <c r="O100" s="6"/>
      <c r="P100" s="6"/>
      <c r="Q100" s="6"/>
    </row>
    <row r="101" ht="19.5" customHeight="1">
      <c r="A101" s="12">
        <v>46113.0</v>
      </c>
      <c r="B101" s="18"/>
      <c r="C101" s="19"/>
      <c r="D101" s="19"/>
      <c r="E101" s="19"/>
      <c r="F101" s="15">
        <f t="shared" si="1"/>
        <v>100</v>
      </c>
      <c r="G101" s="11"/>
      <c r="H101" s="11"/>
      <c r="I101" s="6"/>
      <c r="J101" s="6"/>
      <c r="K101" s="6"/>
      <c r="L101" s="6"/>
      <c r="M101" s="6"/>
      <c r="N101" s="6"/>
      <c r="O101" s="6"/>
      <c r="P101" s="6"/>
      <c r="Q101" s="6"/>
    </row>
    <row r="102" ht="19.5" customHeight="1">
      <c r="A102" s="12">
        <v>46143.0</v>
      </c>
      <c r="B102" s="16"/>
      <c r="C102" s="17"/>
      <c r="D102" s="17"/>
      <c r="E102" s="17"/>
      <c r="F102" s="15">
        <f t="shared" si="1"/>
        <v>101</v>
      </c>
      <c r="G102" s="11"/>
      <c r="H102" s="11"/>
      <c r="I102" s="6"/>
      <c r="J102" s="6"/>
      <c r="K102" s="6"/>
      <c r="L102" s="6"/>
      <c r="M102" s="6"/>
      <c r="N102" s="6"/>
      <c r="O102" s="6"/>
      <c r="P102" s="6"/>
      <c r="Q102" s="6"/>
    </row>
    <row r="103" ht="19.5" customHeight="1">
      <c r="A103" s="12">
        <v>46174.0</v>
      </c>
      <c r="B103" s="18"/>
      <c r="C103" s="19"/>
      <c r="D103" s="19"/>
      <c r="E103" s="19"/>
      <c r="F103" s="15">
        <f t="shared" si="1"/>
        <v>102</v>
      </c>
      <c r="G103" s="11"/>
      <c r="H103" s="11"/>
      <c r="I103" s="6"/>
      <c r="J103" s="6"/>
      <c r="K103" s="6"/>
      <c r="L103" s="6"/>
      <c r="M103" s="6"/>
      <c r="N103" s="6"/>
      <c r="O103" s="6"/>
      <c r="P103" s="6"/>
      <c r="Q103" s="6"/>
    </row>
    <row r="104" ht="19.5" customHeight="1">
      <c r="A104" s="12">
        <v>46204.0</v>
      </c>
      <c r="B104" s="16"/>
      <c r="C104" s="17"/>
      <c r="D104" s="17"/>
      <c r="E104" s="17"/>
      <c r="F104" s="15">
        <f t="shared" si="1"/>
        <v>103</v>
      </c>
      <c r="G104" s="11"/>
      <c r="H104" s="11"/>
      <c r="I104" s="6"/>
      <c r="J104" s="6"/>
      <c r="K104" s="6"/>
      <c r="L104" s="6"/>
      <c r="M104" s="6"/>
      <c r="N104" s="6"/>
      <c r="O104" s="6"/>
      <c r="P104" s="6"/>
      <c r="Q104" s="6"/>
    </row>
    <row r="105" ht="19.5" customHeight="1">
      <c r="A105" s="12">
        <v>46235.0</v>
      </c>
      <c r="B105" s="18"/>
      <c r="C105" s="19"/>
      <c r="D105" s="19"/>
      <c r="E105" s="19"/>
      <c r="F105" s="15">
        <f t="shared" si="1"/>
        <v>104</v>
      </c>
      <c r="G105" s="11"/>
      <c r="H105" s="11"/>
      <c r="I105" s="6"/>
      <c r="J105" s="6"/>
      <c r="K105" s="6"/>
      <c r="L105" s="6"/>
      <c r="M105" s="6"/>
      <c r="N105" s="6"/>
      <c r="O105" s="6"/>
      <c r="P105" s="6"/>
      <c r="Q105" s="6"/>
    </row>
    <row r="106" ht="19.5" customHeight="1">
      <c r="A106" s="12">
        <v>46266.0</v>
      </c>
      <c r="B106" s="16"/>
      <c r="C106" s="17"/>
      <c r="D106" s="17"/>
      <c r="E106" s="17"/>
      <c r="F106" s="15">
        <f t="shared" si="1"/>
        <v>105</v>
      </c>
      <c r="G106" s="11"/>
      <c r="H106" s="11"/>
      <c r="I106" s="6"/>
      <c r="J106" s="6"/>
      <c r="K106" s="6"/>
      <c r="L106" s="6"/>
      <c r="M106" s="6"/>
      <c r="N106" s="6"/>
      <c r="O106" s="6"/>
      <c r="P106" s="6"/>
      <c r="Q106" s="6"/>
    </row>
    <row r="107" ht="19.5" customHeight="1">
      <c r="A107" s="12">
        <v>46296.0</v>
      </c>
      <c r="B107" s="18"/>
      <c r="C107" s="19"/>
      <c r="D107" s="19"/>
      <c r="E107" s="19"/>
      <c r="F107" s="15">
        <f t="shared" si="1"/>
        <v>106</v>
      </c>
      <c r="G107" s="11"/>
      <c r="H107" s="11"/>
      <c r="I107" s="6"/>
      <c r="J107" s="6"/>
      <c r="K107" s="6"/>
      <c r="L107" s="6"/>
      <c r="M107" s="6"/>
      <c r="N107" s="6"/>
      <c r="O107" s="6"/>
      <c r="P107" s="6"/>
      <c r="Q107" s="6"/>
    </row>
    <row r="108" ht="19.5" customHeight="1">
      <c r="A108" s="12">
        <v>46327.0</v>
      </c>
      <c r="B108" s="16"/>
      <c r="C108" s="17"/>
      <c r="D108" s="17"/>
      <c r="E108" s="17"/>
      <c r="F108" s="15">
        <f t="shared" si="1"/>
        <v>107</v>
      </c>
      <c r="G108" s="11"/>
      <c r="H108" s="11"/>
      <c r="I108" s="6"/>
      <c r="J108" s="6"/>
      <c r="K108" s="6"/>
      <c r="L108" s="6"/>
      <c r="M108" s="6"/>
      <c r="N108" s="6"/>
      <c r="O108" s="6"/>
      <c r="P108" s="6"/>
      <c r="Q108" s="6"/>
    </row>
    <row r="109" ht="19.5" customHeight="1">
      <c r="A109" s="12">
        <v>46357.0</v>
      </c>
      <c r="B109" s="18"/>
      <c r="C109" s="19"/>
      <c r="D109" s="19"/>
      <c r="E109" s="19"/>
      <c r="F109" s="15">
        <f t="shared" si="1"/>
        <v>108</v>
      </c>
      <c r="G109" s="11"/>
      <c r="H109" s="11"/>
      <c r="I109" s="6"/>
      <c r="J109" s="6"/>
      <c r="K109" s="6"/>
      <c r="L109" s="6"/>
      <c r="M109" s="6"/>
      <c r="N109" s="6"/>
      <c r="O109" s="6"/>
      <c r="P109" s="6"/>
      <c r="Q109" s="6"/>
    </row>
    <row r="110" ht="19.5" customHeight="1">
      <c r="A110" s="12">
        <v>46388.0</v>
      </c>
      <c r="B110" s="16"/>
      <c r="C110" s="17"/>
      <c r="D110" s="17"/>
      <c r="E110" s="17"/>
      <c r="F110" s="15">
        <f t="shared" si="1"/>
        <v>109</v>
      </c>
      <c r="G110" s="11"/>
      <c r="H110" s="11"/>
      <c r="I110" s="6"/>
      <c r="J110" s="6"/>
      <c r="K110" s="6"/>
      <c r="L110" s="6"/>
      <c r="M110" s="6"/>
      <c r="N110" s="6"/>
      <c r="O110" s="6"/>
      <c r="P110" s="6"/>
      <c r="Q110" s="6"/>
    </row>
    <row r="111" ht="19.5" customHeight="1">
      <c r="A111" s="12">
        <v>46419.0</v>
      </c>
      <c r="B111" s="18"/>
      <c r="C111" s="19"/>
      <c r="D111" s="19"/>
      <c r="E111" s="19"/>
      <c r="F111" s="15">
        <f t="shared" si="1"/>
        <v>110</v>
      </c>
      <c r="G111" s="11"/>
      <c r="H111" s="11"/>
      <c r="I111" s="6"/>
      <c r="J111" s="6"/>
      <c r="K111" s="6"/>
      <c r="L111" s="6"/>
      <c r="M111" s="6"/>
      <c r="N111" s="6"/>
      <c r="O111" s="6"/>
      <c r="P111" s="6"/>
      <c r="Q111" s="6"/>
    </row>
    <row r="112" ht="19.5" customHeight="1">
      <c r="A112" s="12">
        <v>46447.0</v>
      </c>
      <c r="B112" s="16"/>
      <c r="C112" s="17"/>
      <c r="D112" s="17"/>
      <c r="E112" s="17"/>
      <c r="F112" s="15">
        <f t="shared" si="1"/>
        <v>111</v>
      </c>
      <c r="G112" s="11"/>
      <c r="H112" s="11"/>
      <c r="I112" s="6"/>
      <c r="J112" s="6"/>
      <c r="K112" s="6"/>
      <c r="L112" s="6"/>
      <c r="M112" s="6"/>
      <c r="N112" s="6"/>
      <c r="O112" s="6"/>
      <c r="P112" s="6"/>
      <c r="Q112" s="6"/>
    </row>
    <row r="113" ht="19.5" customHeight="1">
      <c r="A113" s="12">
        <v>46478.0</v>
      </c>
      <c r="B113" s="18"/>
      <c r="C113" s="19"/>
      <c r="D113" s="19"/>
      <c r="E113" s="19"/>
      <c r="F113" s="15">
        <f t="shared" si="1"/>
        <v>112</v>
      </c>
      <c r="G113" s="11"/>
      <c r="H113" s="11"/>
      <c r="I113" s="6"/>
      <c r="J113" s="6"/>
      <c r="K113" s="6"/>
      <c r="L113" s="6"/>
      <c r="M113" s="6"/>
      <c r="N113" s="6"/>
      <c r="O113" s="6"/>
      <c r="P113" s="6"/>
      <c r="Q113" s="6"/>
    </row>
    <row r="114" ht="19.5" customHeight="1">
      <c r="A114" s="12">
        <v>46508.0</v>
      </c>
      <c r="B114" s="16"/>
      <c r="C114" s="17"/>
      <c r="D114" s="17"/>
      <c r="E114" s="17"/>
      <c r="F114" s="15">
        <f t="shared" si="1"/>
        <v>113</v>
      </c>
      <c r="G114" s="11"/>
      <c r="H114" s="11"/>
      <c r="I114" s="6"/>
      <c r="J114" s="6"/>
      <c r="K114" s="6"/>
      <c r="L114" s="6"/>
      <c r="M114" s="6"/>
      <c r="N114" s="6"/>
      <c r="O114" s="6"/>
      <c r="P114" s="6"/>
      <c r="Q114" s="6"/>
    </row>
    <row r="115" ht="19.5" customHeight="1">
      <c r="A115" s="12">
        <v>46539.0</v>
      </c>
      <c r="B115" s="18"/>
      <c r="C115" s="19"/>
      <c r="D115" s="19"/>
      <c r="E115" s="19"/>
      <c r="F115" s="15">
        <f t="shared" si="1"/>
        <v>114</v>
      </c>
      <c r="G115" s="11"/>
      <c r="H115" s="11"/>
      <c r="I115" s="6"/>
      <c r="J115" s="6"/>
      <c r="K115" s="6"/>
      <c r="L115" s="6"/>
      <c r="M115" s="6"/>
      <c r="N115" s="6"/>
      <c r="O115" s="6"/>
      <c r="P115" s="6"/>
      <c r="Q115" s="6"/>
    </row>
    <row r="116" ht="19.5" customHeight="1">
      <c r="A116" s="12">
        <v>46569.0</v>
      </c>
      <c r="B116" s="16"/>
      <c r="C116" s="17"/>
      <c r="D116" s="17"/>
      <c r="E116" s="17"/>
      <c r="F116" s="15">
        <f t="shared" si="1"/>
        <v>115</v>
      </c>
      <c r="G116" s="11"/>
      <c r="H116" s="11"/>
      <c r="I116" s="6"/>
      <c r="J116" s="6"/>
      <c r="K116" s="6"/>
      <c r="L116" s="6"/>
      <c r="M116" s="6"/>
      <c r="N116" s="6"/>
      <c r="O116" s="6"/>
      <c r="P116" s="6"/>
      <c r="Q116" s="6"/>
    </row>
    <row r="117" ht="19.5" customHeight="1">
      <c r="A117" s="12">
        <v>46600.0</v>
      </c>
      <c r="B117" s="18"/>
      <c r="C117" s="19"/>
      <c r="D117" s="19"/>
      <c r="E117" s="19"/>
      <c r="F117" s="15">
        <f t="shared" si="1"/>
        <v>116</v>
      </c>
      <c r="G117" s="11"/>
      <c r="H117" s="11"/>
      <c r="I117" s="6"/>
      <c r="J117" s="6"/>
      <c r="K117" s="6"/>
      <c r="L117" s="6"/>
      <c r="M117" s="6"/>
      <c r="N117" s="6"/>
      <c r="O117" s="6"/>
      <c r="P117" s="6"/>
      <c r="Q117" s="6"/>
    </row>
    <row r="118" ht="19.5" customHeight="1">
      <c r="A118" s="12">
        <v>46631.0</v>
      </c>
      <c r="B118" s="16"/>
      <c r="C118" s="17"/>
      <c r="D118" s="17"/>
      <c r="E118" s="17"/>
      <c r="F118" s="15">
        <f t="shared" si="1"/>
        <v>117</v>
      </c>
      <c r="G118" s="11"/>
      <c r="H118" s="11"/>
      <c r="I118" s="6"/>
      <c r="J118" s="6"/>
      <c r="K118" s="6"/>
      <c r="L118" s="6"/>
      <c r="M118" s="6"/>
      <c r="N118" s="6"/>
      <c r="O118" s="6"/>
      <c r="P118" s="6"/>
      <c r="Q118" s="6"/>
    </row>
    <row r="119" ht="19.5" customHeight="1">
      <c r="A119" s="12">
        <v>46661.0</v>
      </c>
      <c r="B119" s="18"/>
      <c r="C119" s="19"/>
      <c r="D119" s="19"/>
      <c r="E119" s="19"/>
      <c r="F119" s="15">
        <f t="shared" si="1"/>
        <v>118</v>
      </c>
      <c r="G119" s="11"/>
      <c r="H119" s="11"/>
      <c r="I119" s="6"/>
      <c r="J119" s="6"/>
      <c r="K119" s="6"/>
      <c r="L119" s="6"/>
      <c r="M119" s="6"/>
      <c r="N119" s="6"/>
      <c r="O119" s="6"/>
      <c r="P119" s="6"/>
      <c r="Q119" s="6"/>
    </row>
    <row r="120" ht="19.5" customHeight="1">
      <c r="A120" s="12">
        <v>46692.0</v>
      </c>
      <c r="B120" s="16"/>
      <c r="C120" s="17"/>
      <c r="D120" s="17"/>
      <c r="E120" s="17"/>
      <c r="F120" s="15">
        <f t="shared" si="1"/>
        <v>119</v>
      </c>
      <c r="G120" s="11"/>
      <c r="H120" s="11"/>
      <c r="I120" s="6"/>
      <c r="J120" s="6"/>
      <c r="K120" s="6"/>
      <c r="L120" s="6"/>
      <c r="M120" s="6"/>
      <c r="N120" s="6"/>
      <c r="O120" s="6"/>
      <c r="P120" s="6"/>
      <c r="Q120" s="6"/>
    </row>
    <row r="121" ht="19.5" customHeight="1">
      <c r="A121" s="12">
        <v>46722.0</v>
      </c>
      <c r="B121" s="18"/>
      <c r="C121" s="19"/>
      <c r="D121" s="19"/>
      <c r="E121" s="19"/>
      <c r="F121" s="15">
        <f t="shared" si="1"/>
        <v>120</v>
      </c>
      <c r="G121" s="11"/>
      <c r="H121" s="11"/>
      <c r="I121" s="6"/>
      <c r="J121" s="6"/>
      <c r="K121" s="6"/>
      <c r="L121" s="6"/>
      <c r="M121" s="6"/>
      <c r="N121" s="6"/>
      <c r="O121" s="6"/>
      <c r="P121" s="6"/>
      <c r="Q121" s="6"/>
    </row>
    <row r="122" ht="19.5" customHeight="1">
      <c r="A122" s="12">
        <v>46753.0</v>
      </c>
      <c r="B122" s="16"/>
      <c r="C122" s="17"/>
      <c r="D122" s="17"/>
      <c r="E122" s="17"/>
      <c r="F122" s="15">
        <f t="shared" si="1"/>
        <v>121</v>
      </c>
      <c r="G122" s="11"/>
      <c r="H122" s="11"/>
      <c r="I122" s="6"/>
      <c r="J122" s="6"/>
      <c r="K122" s="6"/>
      <c r="L122" s="6"/>
      <c r="M122" s="6"/>
      <c r="N122" s="6"/>
      <c r="O122" s="6"/>
      <c r="P122" s="6"/>
      <c r="Q122" s="6"/>
    </row>
    <row r="123" ht="19.5" customHeight="1">
      <c r="A123" s="12">
        <v>46784.0</v>
      </c>
      <c r="B123" s="18"/>
      <c r="C123" s="19"/>
      <c r="D123" s="19"/>
      <c r="E123" s="19"/>
      <c r="F123" s="15">
        <f t="shared" si="1"/>
        <v>122</v>
      </c>
      <c r="G123" s="11"/>
      <c r="H123" s="11"/>
      <c r="I123" s="6"/>
      <c r="J123" s="6"/>
      <c r="K123" s="6"/>
      <c r="L123" s="6"/>
      <c r="M123" s="6"/>
      <c r="N123" s="6"/>
      <c r="O123" s="6"/>
      <c r="P123" s="6"/>
      <c r="Q123" s="6"/>
    </row>
    <row r="124" ht="19.5" customHeight="1">
      <c r="A124" s="12">
        <v>46813.0</v>
      </c>
      <c r="B124" s="16"/>
      <c r="C124" s="17"/>
      <c r="D124" s="17"/>
      <c r="E124" s="17"/>
      <c r="F124" s="15">
        <f t="shared" si="1"/>
        <v>123</v>
      </c>
      <c r="G124" s="11"/>
      <c r="H124" s="11"/>
      <c r="I124" s="6"/>
      <c r="J124" s="6"/>
      <c r="K124" s="6"/>
      <c r="L124" s="6"/>
      <c r="M124" s="6"/>
      <c r="N124" s="6"/>
      <c r="O124" s="6"/>
      <c r="P124" s="6"/>
      <c r="Q124" s="6"/>
    </row>
    <row r="125" ht="19.5" customHeight="1">
      <c r="A125" s="12">
        <v>46844.0</v>
      </c>
      <c r="B125" s="18"/>
      <c r="C125" s="19"/>
      <c r="D125" s="19"/>
      <c r="E125" s="19"/>
      <c r="F125" s="15">
        <f t="shared" si="1"/>
        <v>124</v>
      </c>
      <c r="G125" s="11"/>
      <c r="H125" s="11"/>
      <c r="I125" s="6"/>
      <c r="J125" s="6"/>
      <c r="K125" s="6"/>
      <c r="L125" s="6"/>
      <c r="M125" s="6"/>
      <c r="N125" s="6"/>
      <c r="O125" s="6"/>
      <c r="P125" s="6"/>
      <c r="Q125" s="6"/>
    </row>
    <row r="126" ht="19.5" customHeight="1">
      <c r="A126" s="12">
        <v>46874.0</v>
      </c>
      <c r="B126" s="16"/>
      <c r="C126" s="17"/>
      <c r="D126" s="17"/>
      <c r="E126" s="17"/>
      <c r="F126" s="15">
        <f t="shared" si="1"/>
        <v>125</v>
      </c>
      <c r="G126" s="11"/>
      <c r="H126" s="11"/>
      <c r="I126" s="6"/>
      <c r="J126" s="6"/>
      <c r="K126" s="6"/>
      <c r="L126" s="6"/>
      <c r="M126" s="6"/>
      <c r="N126" s="6"/>
      <c r="O126" s="6"/>
      <c r="P126" s="6"/>
      <c r="Q126" s="6"/>
    </row>
    <row r="127" ht="19.5" customHeight="1">
      <c r="A127" s="12">
        <v>46905.0</v>
      </c>
      <c r="B127" s="18"/>
      <c r="C127" s="19"/>
      <c r="D127" s="19"/>
      <c r="E127" s="19"/>
      <c r="F127" s="15">
        <f t="shared" si="1"/>
        <v>126</v>
      </c>
      <c r="G127" s="11"/>
      <c r="H127" s="11"/>
      <c r="I127" s="6"/>
      <c r="J127" s="6"/>
      <c r="K127" s="6"/>
      <c r="L127" s="6"/>
      <c r="M127" s="6"/>
      <c r="N127" s="6"/>
      <c r="O127" s="6"/>
      <c r="P127" s="6"/>
      <c r="Q127" s="6"/>
    </row>
    <row r="128" ht="19.5" customHeight="1">
      <c r="A128" s="12">
        <v>46935.0</v>
      </c>
      <c r="B128" s="16"/>
      <c r="C128" s="17"/>
      <c r="D128" s="17"/>
      <c r="E128" s="17"/>
      <c r="F128" s="15">
        <f t="shared" si="1"/>
        <v>127</v>
      </c>
      <c r="G128" s="11"/>
      <c r="H128" s="11"/>
      <c r="I128" s="6"/>
      <c r="J128" s="6"/>
      <c r="K128" s="6"/>
      <c r="L128" s="6"/>
      <c r="M128" s="6"/>
      <c r="N128" s="6"/>
      <c r="O128" s="6"/>
      <c r="P128" s="6"/>
      <c r="Q128" s="6"/>
    </row>
    <row r="129" ht="19.5" customHeight="1">
      <c r="A129" s="12">
        <v>46966.0</v>
      </c>
      <c r="B129" s="18"/>
      <c r="C129" s="19"/>
      <c r="D129" s="19"/>
      <c r="E129" s="19"/>
      <c r="F129" s="15">
        <f t="shared" si="1"/>
        <v>128</v>
      </c>
      <c r="G129" s="11"/>
      <c r="H129" s="11"/>
      <c r="I129" s="6"/>
      <c r="J129" s="6"/>
      <c r="K129" s="6"/>
      <c r="L129" s="6"/>
      <c r="M129" s="6"/>
      <c r="N129" s="6"/>
      <c r="O129" s="6"/>
      <c r="P129" s="6"/>
      <c r="Q129" s="6"/>
    </row>
    <row r="130" ht="19.5" customHeight="1">
      <c r="A130" s="12">
        <v>46997.0</v>
      </c>
      <c r="B130" s="16"/>
      <c r="C130" s="17"/>
      <c r="D130" s="17"/>
      <c r="E130" s="17"/>
      <c r="F130" s="15">
        <f t="shared" si="1"/>
        <v>129</v>
      </c>
      <c r="G130" s="11"/>
      <c r="H130" s="11"/>
      <c r="I130" s="6"/>
      <c r="J130" s="6"/>
      <c r="K130" s="6"/>
      <c r="L130" s="6"/>
      <c r="M130" s="6"/>
      <c r="N130" s="6"/>
      <c r="O130" s="6"/>
      <c r="P130" s="6"/>
      <c r="Q130" s="6"/>
    </row>
    <row r="131" ht="19.5" customHeight="1">
      <c r="A131" s="12">
        <v>47027.0</v>
      </c>
      <c r="B131" s="18"/>
      <c r="C131" s="19"/>
      <c r="D131" s="19"/>
      <c r="E131" s="19"/>
      <c r="F131" s="15">
        <f t="shared" si="1"/>
        <v>130</v>
      </c>
      <c r="G131" s="11"/>
      <c r="H131" s="11"/>
      <c r="I131" s="6"/>
      <c r="J131" s="6"/>
      <c r="K131" s="6"/>
      <c r="L131" s="6"/>
      <c r="M131" s="6"/>
      <c r="N131" s="6"/>
      <c r="O131" s="6"/>
      <c r="P131" s="6"/>
      <c r="Q131" s="6"/>
    </row>
    <row r="132" ht="19.5" customHeight="1">
      <c r="A132" s="12">
        <v>47058.0</v>
      </c>
      <c r="B132" s="16"/>
      <c r="C132" s="17"/>
      <c r="D132" s="17"/>
      <c r="E132" s="17"/>
      <c r="F132" s="15">
        <f t="shared" si="1"/>
        <v>131</v>
      </c>
      <c r="G132" s="11"/>
      <c r="H132" s="11"/>
      <c r="I132" s="6"/>
      <c r="J132" s="6"/>
      <c r="K132" s="6"/>
      <c r="L132" s="6"/>
      <c r="M132" s="6"/>
      <c r="N132" s="6"/>
      <c r="O132" s="6"/>
      <c r="P132" s="6"/>
      <c r="Q132" s="6"/>
    </row>
    <row r="133" ht="19.5" customHeight="1">
      <c r="A133" s="12">
        <v>47088.0</v>
      </c>
      <c r="B133" s="18"/>
      <c r="C133" s="19"/>
      <c r="D133" s="19"/>
      <c r="E133" s="19"/>
      <c r="F133" s="15">
        <f t="shared" si="1"/>
        <v>132</v>
      </c>
      <c r="G133" s="11"/>
      <c r="H133" s="11"/>
      <c r="I133" s="6"/>
      <c r="J133" s="6"/>
      <c r="K133" s="6"/>
      <c r="L133" s="6"/>
      <c r="M133" s="6"/>
      <c r="N133" s="6"/>
      <c r="O133" s="6"/>
      <c r="P133" s="6"/>
      <c r="Q133" s="6"/>
    </row>
    <row r="134" ht="19.5" customHeight="1">
      <c r="A134" s="12">
        <v>47119.0</v>
      </c>
      <c r="B134" s="16"/>
      <c r="C134" s="17"/>
      <c r="D134" s="17"/>
      <c r="E134" s="17"/>
      <c r="F134" s="15">
        <f t="shared" si="1"/>
        <v>133</v>
      </c>
      <c r="G134" s="11"/>
      <c r="H134" s="11"/>
      <c r="I134" s="6"/>
      <c r="J134" s="6"/>
      <c r="K134" s="6"/>
      <c r="L134" s="6"/>
      <c r="M134" s="6"/>
      <c r="N134" s="6"/>
      <c r="O134" s="6"/>
      <c r="P134" s="6"/>
      <c r="Q134" s="6"/>
    </row>
    <row r="135" ht="19.5" customHeight="1">
      <c r="A135" s="12">
        <v>47150.0</v>
      </c>
      <c r="B135" s="18"/>
      <c r="C135" s="19"/>
      <c r="D135" s="19"/>
      <c r="E135" s="19"/>
      <c r="F135" s="15">
        <f t="shared" si="1"/>
        <v>134</v>
      </c>
      <c r="G135" s="11"/>
      <c r="H135" s="11"/>
      <c r="I135" s="6"/>
      <c r="J135" s="6"/>
      <c r="K135" s="6"/>
      <c r="L135" s="6"/>
      <c r="M135" s="6"/>
      <c r="N135" s="6"/>
      <c r="O135" s="6"/>
      <c r="P135" s="6"/>
      <c r="Q135" s="6"/>
    </row>
    <row r="136" ht="19.5" customHeight="1">
      <c r="A136" s="12">
        <v>47178.0</v>
      </c>
      <c r="B136" s="16"/>
      <c r="C136" s="17"/>
      <c r="D136" s="17"/>
      <c r="E136" s="17"/>
      <c r="F136" s="15">
        <f t="shared" si="1"/>
        <v>135</v>
      </c>
      <c r="G136" s="11"/>
      <c r="H136" s="11"/>
      <c r="I136" s="6"/>
      <c r="J136" s="6"/>
      <c r="K136" s="6"/>
      <c r="L136" s="6"/>
      <c r="M136" s="6"/>
      <c r="N136" s="6"/>
      <c r="O136" s="6"/>
      <c r="P136" s="6"/>
      <c r="Q136" s="6"/>
    </row>
    <row r="137" ht="19.5" customHeight="1">
      <c r="A137" s="12">
        <v>47209.0</v>
      </c>
      <c r="B137" s="18"/>
      <c r="C137" s="19"/>
      <c r="D137" s="19"/>
      <c r="E137" s="19"/>
      <c r="F137" s="15">
        <f t="shared" si="1"/>
        <v>136</v>
      </c>
      <c r="G137" s="11"/>
      <c r="H137" s="11"/>
      <c r="I137" s="6"/>
      <c r="J137" s="6"/>
      <c r="K137" s="6"/>
      <c r="L137" s="6"/>
      <c r="M137" s="6"/>
      <c r="N137" s="6"/>
      <c r="O137" s="6"/>
      <c r="P137" s="6"/>
      <c r="Q137" s="6"/>
    </row>
    <row r="138" ht="19.5" customHeight="1">
      <c r="A138" s="12">
        <v>47239.0</v>
      </c>
      <c r="B138" s="16"/>
      <c r="C138" s="17"/>
      <c r="D138" s="17"/>
      <c r="E138" s="17"/>
      <c r="F138" s="15">
        <f t="shared" si="1"/>
        <v>137</v>
      </c>
      <c r="G138" s="11"/>
      <c r="H138" s="11"/>
      <c r="I138" s="6"/>
      <c r="J138" s="6"/>
      <c r="K138" s="6"/>
      <c r="L138" s="6"/>
      <c r="M138" s="6"/>
      <c r="N138" s="6"/>
      <c r="O138" s="6"/>
      <c r="P138" s="6"/>
      <c r="Q138" s="6"/>
    </row>
    <row r="139" ht="19.5" customHeight="1">
      <c r="A139" s="12">
        <v>47270.0</v>
      </c>
      <c r="B139" s="18"/>
      <c r="C139" s="19"/>
      <c r="D139" s="19"/>
      <c r="E139" s="19"/>
      <c r="F139" s="15">
        <f t="shared" si="1"/>
        <v>138</v>
      </c>
      <c r="G139" s="11"/>
      <c r="H139" s="11"/>
      <c r="I139" s="6"/>
      <c r="J139" s="6"/>
      <c r="K139" s="6"/>
      <c r="L139" s="6"/>
      <c r="M139" s="6"/>
      <c r="N139" s="6"/>
      <c r="O139" s="6"/>
      <c r="P139" s="6"/>
      <c r="Q139" s="6"/>
    </row>
    <row r="140" ht="19.5" customHeight="1">
      <c r="A140" s="12">
        <v>47300.0</v>
      </c>
      <c r="B140" s="16"/>
      <c r="C140" s="17"/>
      <c r="D140" s="17"/>
      <c r="E140" s="17"/>
      <c r="F140" s="15">
        <f t="shared" si="1"/>
        <v>139</v>
      </c>
      <c r="G140" s="11"/>
      <c r="H140" s="11"/>
      <c r="I140" s="6"/>
      <c r="J140" s="6"/>
      <c r="K140" s="6"/>
      <c r="L140" s="6"/>
      <c r="M140" s="6"/>
      <c r="N140" s="6"/>
      <c r="O140" s="6"/>
      <c r="P140" s="6"/>
      <c r="Q140" s="6"/>
    </row>
    <row r="141" ht="19.5" customHeight="1">
      <c r="A141" s="12">
        <v>47331.0</v>
      </c>
      <c r="B141" s="18"/>
      <c r="C141" s="19"/>
      <c r="D141" s="19"/>
      <c r="E141" s="19"/>
      <c r="F141" s="15">
        <f t="shared" si="1"/>
        <v>140</v>
      </c>
      <c r="G141" s="11"/>
      <c r="H141" s="11"/>
      <c r="I141" s="6"/>
      <c r="J141" s="6"/>
      <c r="K141" s="6"/>
      <c r="L141" s="6"/>
      <c r="M141" s="6"/>
      <c r="N141" s="6"/>
      <c r="O141" s="6"/>
      <c r="P141" s="6"/>
      <c r="Q141" s="6"/>
    </row>
    <row r="142" ht="19.5" customHeight="1">
      <c r="A142" s="12">
        <v>47362.0</v>
      </c>
      <c r="B142" s="16"/>
      <c r="C142" s="17"/>
      <c r="D142" s="17"/>
      <c r="E142" s="17"/>
      <c r="F142" s="15">
        <f t="shared" si="1"/>
        <v>141</v>
      </c>
      <c r="G142" s="11"/>
      <c r="H142" s="11"/>
      <c r="I142" s="6"/>
      <c r="J142" s="6"/>
      <c r="K142" s="6"/>
      <c r="L142" s="6"/>
      <c r="M142" s="6"/>
      <c r="N142" s="6"/>
      <c r="O142" s="6"/>
      <c r="P142" s="6"/>
      <c r="Q142" s="6"/>
    </row>
    <row r="143" ht="19.5" customHeight="1">
      <c r="A143" s="12">
        <v>47392.0</v>
      </c>
      <c r="B143" s="18"/>
      <c r="C143" s="19"/>
      <c r="D143" s="19"/>
      <c r="E143" s="19"/>
      <c r="F143" s="15">
        <f t="shared" si="1"/>
        <v>142</v>
      </c>
      <c r="G143" s="11"/>
      <c r="H143" s="11"/>
      <c r="I143" s="6"/>
      <c r="J143" s="6"/>
      <c r="K143" s="6"/>
      <c r="L143" s="6"/>
      <c r="M143" s="6"/>
      <c r="N143" s="6"/>
      <c r="O143" s="6"/>
      <c r="P143" s="6"/>
      <c r="Q143" s="6"/>
    </row>
    <row r="144" ht="19.5" customHeight="1">
      <c r="A144" s="12">
        <v>47423.0</v>
      </c>
      <c r="B144" s="16"/>
      <c r="C144" s="17"/>
      <c r="D144" s="17"/>
      <c r="E144" s="17"/>
      <c r="F144" s="15">
        <f t="shared" si="1"/>
        <v>143</v>
      </c>
      <c r="G144" s="11"/>
      <c r="H144" s="11"/>
      <c r="I144" s="6"/>
      <c r="J144" s="6"/>
      <c r="K144" s="6"/>
      <c r="L144" s="6"/>
      <c r="M144" s="6"/>
      <c r="N144" s="6"/>
      <c r="O144" s="6"/>
      <c r="P144" s="6"/>
      <c r="Q144" s="6"/>
    </row>
    <row r="145" ht="19.5" customHeight="1">
      <c r="A145" s="12">
        <v>47453.0</v>
      </c>
      <c r="B145" s="18"/>
      <c r="C145" s="19"/>
      <c r="D145" s="19"/>
      <c r="E145" s="19"/>
      <c r="F145" s="15">
        <f t="shared" si="1"/>
        <v>144</v>
      </c>
      <c r="G145" s="11"/>
      <c r="H145" s="11"/>
      <c r="I145" s="6"/>
      <c r="J145" s="6"/>
      <c r="K145" s="6"/>
      <c r="L145" s="6"/>
      <c r="M145" s="6"/>
      <c r="N145" s="6"/>
      <c r="O145" s="6"/>
      <c r="P145" s="6"/>
      <c r="Q145" s="6"/>
    </row>
    <row r="146" ht="19.5" customHeight="1">
      <c r="A146" s="12">
        <v>47484.0</v>
      </c>
      <c r="B146" s="16"/>
      <c r="C146" s="17"/>
      <c r="D146" s="17"/>
      <c r="E146" s="17"/>
      <c r="F146" s="15">
        <f t="shared" si="1"/>
        <v>145</v>
      </c>
      <c r="G146" s="11"/>
      <c r="H146" s="11"/>
      <c r="I146" s="6"/>
      <c r="J146" s="6"/>
      <c r="K146" s="6"/>
      <c r="L146" s="6"/>
      <c r="M146" s="6"/>
      <c r="N146" s="6"/>
      <c r="O146" s="6"/>
      <c r="P146" s="6"/>
      <c r="Q146" s="6"/>
    </row>
    <row r="147" ht="19.5" customHeight="1">
      <c r="A147" s="12">
        <v>47515.0</v>
      </c>
      <c r="B147" s="18"/>
      <c r="C147" s="19"/>
      <c r="D147" s="19"/>
      <c r="E147" s="19"/>
      <c r="F147" s="15">
        <f t="shared" si="1"/>
        <v>146</v>
      </c>
      <c r="G147" s="11"/>
      <c r="H147" s="11"/>
      <c r="I147" s="6"/>
      <c r="J147" s="6"/>
      <c r="K147" s="6"/>
      <c r="L147" s="6"/>
      <c r="M147" s="6"/>
      <c r="N147" s="6"/>
      <c r="O147" s="6"/>
      <c r="P147" s="6"/>
      <c r="Q147" s="6"/>
    </row>
    <row r="148" ht="19.5" customHeight="1">
      <c r="A148" s="12">
        <v>47543.0</v>
      </c>
      <c r="B148" s="16"/>
      <c r="C148" s="17"/>
      <c r="D148" s="17"/>
      <c r="E148" s="17"/>
      <c r="F148" s="15">
        <f t="shared" si="1"/>
        <v>147</v>
      </c>
      <c r="G148" s="11"/>
      <c r="H148" s="11"/>
      <c r="I148" s="6"/>
      <c r="J148" s="6"/>
      <c r="K148" s="6"/>
      <c r="L148" s="6"/>
      <c r="M148" s="6"/>
      <c r="N148" s="6"/>
      <c r="O148" s="6"/>
      <c r="P148" s="6"/>
      <c r="Q148" s="6"/>
    </row>
    <row r="149" ht="19.5" customHeight="1">
      <c r="A149" s="12">
        <v>47574.0</v>
      </c>
      <c r="B149" s="18"/>
      <c r="C149" s="19"/>
      <c r="D149" s="19"/>
      <c r="E149" s="19"/>
      <c r="F149" s="15">
        <f t="shared" si="1"/>
        <v>148</v>
      </c>
      <c r="G149" s="11"/>
      <c r="H149" s="11"/>
      <c r="I149" s="6"/>
      <c r="J149" s="6"/>
      <c r="K149" s="6"/>
      <c r="L149" s="6"/>
      <c r="M149" s="6"/>
      <c r="N149" s="6"/>
      <c r="O149" s="6"/>
      <c r="P149" s="6"/>
      <c r="Q149" s="6"/>
    </row>
    <row r="150" ht="19.5" customHeight="1">
      <c r="A150" s="12">
        <v>47604.0</v>
      </c>
      <c r="B150" s="16"/>
      <c r="C150" s="17"/>
      <c r="D150" s="17"/>
      <c r="E150" s="17"/>
      <c r="F150" s="15">
        <f t="shared" si="1"/>
        <v>149</v>
      </c>
      <c r="G150" s="11"/>
      <c r="H150" s="11"/>
      <c r="I150" s="6"/>
      <c r="J150" s="6"/>
      <c r="K150" s="6"/>
      <c r="L150" s="6"/>
      <c r="M150" s="6"/>
      <c r="N150" s="6"/>
      <c r="O150" s="6"/>
      <c r="P150" s="6"/>
      <c r="Q150" s="6"/>
    </row>
    <row r="151" ht="19.5" customHeight="1">
      <c r="A151" s="12">
        <v>47635.0</v>
      </c>
      <c r="B151" s="18"/>
      <c r="C151" s="19"/>
      <c r="D151" s="19"/>
      <c r="E151" s="19"/>
      <c r="F151" s="15">
        <f t="shared" si="1"/>
        <v>150</v>
      </c>
      <c r="G151" s="11"/>
      <c r="H151" s="11"/>
      <c r="I151" s="6"/>
      <c r="J151" s="6"/>
      <c r="K151" s="6"/>
      <c r="L151" s="6"/>
      <c r="M151" s="6"/>
      <c r="N151" s="6"/>
      <c r="O151" s="6"/>
      <c r="P151" s="6"/>
      <c r="Q151" s="6"/>
    </row>
    <row r="152" ht="19.5" customHeight="1">
      <c r="A152" s="12">
        <v>47665.0</v>
      </c>
      <c r="B152" s="16"/>
      <c r="C152" s="17"/>
      <c r="D152" s="17"/>
      <c r="E152" s="17"/>
      <c r="F152" s="15">
        <f t="shared" si="1"/>
        <v>151</v>
      </c>
      <c r="G152" s="11"/>
      <c r="H152" s="11"/>
      <c r="I152" s="6"/>
      <c r="J152" s="6"/>
      <c r="K152" s="6"/>
      <c r="L152" s="6"/>
      <c r="M152" s="6"/>
      <c r="N152" s="6"/>
      <c r="O152" s="6"/>
      <c r="P152" s="6"/>
      <c r="Q152" s="6"/>
    </row>
    <row r="153" ht="19.5" customHeight="1">
      <c r="A153" s="12">
        <v>47696.0</v>
      </c>
      <c r="B153" s="18"/>
      <c r="C153" s="19"/>
      <c r="D153" s="19"/>
      <c r="E153" s="19"/>
      <c r="F153" s="15">
        <f t="shared" si="1"/>
        <v>152</v>
      </c>
      <c r="G153" s="11"/>
      <c r="H153" s="11"/>
      <c r="I153" s="6"/>
      <c r="J153" s="6"/>
      <c r="K153" s="6"/>
      <c r="L153" s="6"/>
      <c r="M153" s="6"/>
      <c r="N153" s="6"/>
      <c r="O153" s="6"/>
      <c r="P153" s="6"/>
      <c r="Q153" s="6"/>
    </row>
    <row r="154" ht="19.5" customHeight="1">
      <c r="A154" s="12">
        <v>47727.0</v>
      </c>
      <c r="B154" s="16"/>
      <c r="C154" s="17"/>
      <c r="D154" s="17"/>
      <c r="E154" s="17"/>
      <c r="F154" s="15">
        <f t="shared" si="1"/>
        <v>153</v>
      </c>
      <c r="G154" s="11"/>
      <c r="H154" s="11"/>
      <c r="I154" s="6"/>
      <c r="J154" s="6"/>
      <c r="K154" s="6"/>
      <c r="L154" s="6"/>
      <c r="M154" s="6"/>
      <c r="N154" s="6"/>
      <c r="O154" s="6"/>
      <c r="P154" s="6"/>
      <c r="Q154" s="6"/>
    </row>
    <row r="155" ht="19.5" customHeight="1">
      <c r="A155" s="12">
        <v>47757.0</v>
      </c>
      <c r="B155" s="18"/>
      <c r="C155" s="19"/>
      <c r="D155" s="19"/>
      <c r="E155" s="19"/>
      <c r="F155" s="15">
        <f t="shared" si="1"/>
        <v>154</v>
      </c>
      <c r="G155" s="11"/>
      <c r="H155" s="11"/>
      <c r="I155" s="6"/>
      <c r="J155" s="6"/>
      <c r="K155" s="6"/>
      <c r="L155" s="6"/>
      <c r="M155" s="6"/>
      <c r="N155" s="6"/>
      <c r="O155" s="6"/>
      <c r="P155" s="6"/>
      <c r="Q155" s="6"/>
    </row>
    <row r="156" ht="19.5" customHeight="1">
      <c r="A156" s="12">
        <v>47788.0</v>
      </c>
      <c r="B156" s="16"/>
      <c r="C156" s="17"/>
      <c r="D156" s="17"/>
      <c r="E156" s="17"/>
      <c r="F156" s="15">
        <f t="shared" si="1"/>
        <v>155</v>
      </c>
      <c r="G156" s="11"/>
      <c r="H156" s="11"/>
      <c r="I156" s="6"/>
      <c r="J156" s="6"/>
      <c r="K156" s="6"/>
      <c r="L156" s="6"/>
      <c r="M156" s="6"/>
      <c r="N156" s="6"/>
      <c r="O156" s="6"/>
      <c r="P156" s="6"/>
      <c r="Q156" s="6"/>
    </row>
    <row r="157" ht="19.5" customHeight="1">
      <c r="A157" s="12">
        <v>47818.0</v>
      </c>
      <c r="B157" s="18"/>
      <c r="C157" s="19"/>
      <c r="D157" s="19"/>
      <c r="E157" s="19"/>
      <c r="F157" s="15">
        <f t="shared" si="1"/>
        <v>156</v>
      </c>
      <c r="G157" s="11"/>
      <c r="H157" s="11"/>
      <c r="I157" s="6"/>
      <c r="J157" s="6"/>
      <c r="K157" s="6"/>
      <c r="L157" s="6"/>
      <c r="M157" s="6"/>
      <c r="N157" s="6"/>
      <c r="O157" s="6"/>
      <c r="P157" s="6"/>
      <c r="Q157" s="6"/>
    </row>
    <row r="158" ht="19.5" customHeight="1">
      <c r="A158" s="12">
        <v>47849.0</v>
      </c>
      <c r="B158" s="16"/>
      <c r="C158" s="17"/>
      <c r="D158" s="17"/>
      <c r="E158" s="17"/>
      <c r="F158" s="15">
        <f t="shared" si="1"/>
        <v>157</v>
      </c>
      <c r="G158" s="11"/>
      <c r="H158" s="11"/>
      <c r="I158" s="6"/>
      <c r="J158" s="6"/>
      <c r="K158" s="6"/>
      <c r="L158" s="6"/>
      <c r="M158" s="6"/>
      <c r="N158" s="6"/>
      <c r="O158" s="6"/>
      <c r="P158" s="6"/>
      <c r="Q158" s="6"/>
    </row>
    <row r="159" ht="19.5" customHeight="1">
      <c r="A159" s="12">
        <v>47880.0</v>
      </c>
      <c r="B159" s="18"/>
      <c r="C159" s="19"/>
      <c r="D159" s="19"/>
      <c r="E159" s="19"/>
      <c r="F159" s="15">
        <f t="shared" si="1"/>
        <v>158</v>
      </c>
      <c r="G159" s="11"/>
      <c r="H159" s="11"/>
      <c r="I159" s="6"/>
      <c r="J159" s="6"/>
      <c r="K159" s="6"/>
      <c r="L159" s="6"/>
      <c r="M159" s="6"/>
      <c r="N159" s="6"/>
      <c r="O159" s="6"/>
      <c r="P159" s="6"/>
      <c r="Q159" s="6"/>
    </row>
    <row r="160" ht="19.5" customHeight="1">
      <c r="A160" s="12">
        <v>47908.0</v>
      </c>
      <c r="B160" s="16"/>
      <c r="C160" s="17"/>
      <c r="D160" s="17"/>
      <c r="E160" s="17"/>
      <c r="F160" s="15">
        <f t="shared" si="1"/>
        <v>159</v>
      </c>
      <c r="G160" s="11"/>
      <c r="H160" s="11"/>
      <c r="I160" s="6"/>
      <c r="J160" s="6"/>
      <c r="K160" s="6"/>
      <c r="L160" s="6"/>
      <c r="M160" s="6"/>
      <c r="N160" s="6"/>
      <c r="O160" s="6"/>
      <c r="P160" s="6"/>
      <c r="Q160" s="6"/>
    </row>
    <row r="161" ht="19.5" customHeight="1">
      <c r="A161" s="12">
        <v>47939.0</v>
      </c>
      <c r="B161" s="18"/>
      <c r="C161" s="19"/>
      <c r="D161" s="19"/>
      <c r="E161" s="19"/>
      <c r="F161" s="15">
        <f t="shared" si="1"/>
        <v>160</v>
      </c>
      <c r="G161" s="11"/>
      <c r="H161" s="11"/>
      <c r="I161" s="6"/>
      <c r="J161" s="6"/>
      <c r="K161" s="6"/>
      <c r="L161" s="6"/>
      <c r="M161" s="6"/>
      <c r="N161" s="6"/>
      <c r="O161" s="6"/>
      <c r="P161" s="6"/>
      <c r="Q161" s="6"/>
    </row>
    <row r="162" ht="19.5" customHeight="1">
      <c r="A162" s="12">
        <v>47969.0</v>
      </c>
      <c r="B162" s="16"/>
      <c r="C162" s="17"/>
      <c r="D162" s="17"/>
      <c r="E162" s="17"/>
      <c r="F162" s="15">
        <f t="shared" si="1"/>
        <v>161</v>
      </c>
      <c r="G162" s="11"/>
      <c r="H162" s="11"/>
      <c r="I162" s="6"/>
      <c r="J162" s="6"/>
      <c r="K162" s="6"/>
      <c r="L162" s="6"/>
      <c r="M162" s="6"/>
      <c r="N162" s="6"/>
      <c r="O162" s="6"/>
      <c r="P162" s="6"/>
      <c r="Q162" s="6"/>
    </row>
    <row r="163" ht="19.5" customHeight="1">
      <c r="A163" s="12">
        <v>48000.0</v>
      </c>
      <c r="B163" s="18"/>
      <c r="C163" s="19"/>
      <c r="D163" s="19"/>
      <c r="E163" s="19"/>
      <c r="F163" s="15">
        <f t="shared" si="1"/>
        <v>162</v>
      </c>
      <c r="G163" s="11"/>
      <c r="H163" s="11"/>
      <c r="I163" s="6"/>
      <c r="J163" s="6"/>
      <c r="K163" s="6"/>
      <c r="L163" s="6"/>
      <c r="M163" s="6"/>
      <c r="N163" s="6"/>
      <c r="O163" s="6"/>
      <c r="P163" s="6"/>
      <c r="Q163" s="6"/>
    </row>
    <row r="164" ht="19.5" customHeight="1">
      <c r="A164" s="12">
        <v>48030.0</v>
      </c>
      <c r="B164" s="16"/>
      <c r="C164" s="17"/>
      <c r="D164" s="17"/>
      <c r="E164" s="17"/>
      <c r="F164" s="15">
        <f t="shared" si="1"/>
        <v>163</v>
      </c>
      <c r="G164" s="11"/>
      <c r="H164" s="11"/>
      <c r="I164" s="6"/>
      <c r="J164" s="6"/>
      <c r="K164" s="6"/>
      <c r="L164" s="6"/>
      <c r="M164" s="6"/>
      <c r="N164" s="6"/>
      <c r="O164" s="6"/>
      <c r="P164" s="6"/>
      <c r="Q164" s="6"/>
    </row>
    <row r="165" ht="19.5" customHeight="1">
      <c r="A165" s="12">
        <v>48061.0</v>
      </c>
      <c r="B165" s="18"/>
      <c r="C165" s="19"/>
      <c r="D165" s="19"/>
      <c r="E165" s="19"/>
      <c r="F165" s="15">
        <f t="shared" si="1"/>
        <v>164</v>
      </c>
      <c r="G165" s="11"/>
      <c r="H165" s="11"/>
      <c r="I165" s="6"/>
      <c r="J165" s="6"/>
      <c r="K165" s="6"/>
      <c r="L165" s="6"/>
      <c r="M165" s="6"/>
      <c r="N165" s="6"/>
      <c r="O165" s="6"/>
      <c r="P165" s="6"/>
      <c r="Q165" s="6"/>
    </row>
    <row r="166" ht="19.5" customHeight="1">
      <c r="A166" s="12">
        <v>48092.0</v>
      </c>
      <c r="B166" s="16"/>
      <c r="C166" s="17"/>
      <c r="D166" s="17"/>
      <c r="E166" s="17"/>
      <c r="F166" s="15">
        <f t="shared" si="1"/>
        <v>165</v>
      </c>
      <c r="G166" s="11"/>
      <c r="H166" s="11"/>
      <c r="I166" s="6"/>
      <c r="J166" s="6"/>
      <c r="K166" s="6"/>
      <c r="L166" s="6"/>
      <c r="M166" s="6"/>
      <c r="N166" s="6"/>
      <c r="O166" s="6"/>
      <c r="P166" s="6"/>
      <c r="Q166" s="6"/>
    </row>
    <row r="167" ht="19.5" customHeight="1">
      <c r="A167" s="12">
        <v>48122.0</v>
      </c>
      <c r="B167" s="18"/>
      <c r="C167" s="19"/>
      <c r="D167" s="19"/>
      <c r="E167" s="19"/>
      <c r="F167" s="15">
        <f t="shared" si="1"/>
        <v>166</v>
      </c>
      <c r="G167" s="11"/>
      <c r="H167" s="11"/>
      <c r="I167" s="6"/>
      <c r="J167" s="6"/>
      <c r="K167" s="6"/>
      <c r="L167" s="6"/>
      <c r="M167" s="6"/>
      <c r="N167" s="6"/>
      <c r="O167" s="6"/>
      <c r="P167" s="6"/>
      <c r="Q167" s="6"/>
    </row>
    <row r="168" ht="19.5" customHeight="1">
      <c r="A168" s="12">
        <v>48153.0</v>
      </c>
      <c r="B168" s="16"/>
      <c r="C168" s="17"/>
      <c r="D168" s="17"/>
      <c r="E168" s="17"/>
      <c r="F168" s="15">
        <f t="shared" si="1"/>
        <v>167</v>
      </c>
      <c r="G168" s="11"/>
      <c r="H168" s="11"/>
      <c r="I168" s="6"/>
      <c r="J168" s="6"/>
      <c r="K168" s="6"/>
      <c r="L168" s="6"/>
      <c r="M168" s="6"/>
      <c r="N168" s="6"/>
      <c r="O168" s="6"/>
      <c r="P168" s="6"/>
      <c r="Q168" s="6"/>
    </row>
    <row r="169" ht="19.5" customHeight="1">
      <c r="A169" s="12">
        <v>48183.0</v>
      </c>
      <c r="B169" s="18"/>
      <c r="C169" s="19"/>
      <c r="D169" s="19"/>
      <c r="E169" s="19"/>
      <c r="F169" s="15">
        <f t="shared" si="1"/>
        <v>168</v>
      </c>
      <c r="G169" s="11"/>
      <c r="H169" s="11"/>
      <c r="I169" s="6"/>
      <c r="J169" s="6"/>
      <c r="K169" s="6"/>
      <c r="L169" s="6"/>
      <c r="M169" s="6"/>
      <c r="N169" s="6"/>
      <c r="O169" s="6"/>
      <c r="P169" s="6"/>
      <c r="Q169" s="6"/>
    </row>
    <row r="170" ht="19.5" customHeight="1">
      <c r="A170" s="12">
        <v>48214.0</v>
      </c>
      <c r="B170" s="16"/>
      <c r="C170" s="17"/>
      <c r="D170" s="17"/>
      <c r="E170" s="17"/>
      <c r="F170" s="15">
        <f t="shared" si="1"/>
        <v>169</v>
      </c>
      <c r="G170" s="11"/>
      <c r="H170" s="11"/>
      <c r="I170" s="6"/>
      <c r="J170" s="6"/>
      <c r="K170" s="6"/>
      <c r="L170" s="6"/>
      <c r="M170" s="6"/>
      <c r="N170" s="6"/>
      <c r="O170" s="6"/>
      <c r="P170" s="6"/>
      <c r="Q170" s="6"/>
    </row>
    <row r="171" ht="19.5" customHeight="1">
      <c r="A171" s="12">
        <v>48245.0</v>
      </c>
      <c r="B171" s="18"/>
      <c r="C171" s="19"/>
      <c r="D171" s="19"/>
      <c r="E171" s="19"/>
      <c r="F171" s="15">
        <f t="shared" si="1"/>
        <v>170</v>
      </c>
      <c r="G171" s="11"/>
      <c r="H171" s="11"/>
      <c r="I171" s="6"/>
      <c r="J171" s="6"/>
      <c r="K171" s="6"/>
      <c r="L171" s="6"/>
      <c r="M171" s="6"/>
      <c r="N171" s="6"/>
      <c r="O171" s="6"/>
      <c r="P171" s="6"/>
      <c r="Q171" s="6"/>
    </row>
    <row r="172" ht="19.5" customHeight="1">
      <c r="A172" s="12">
        <v>48274.0</v>
      </c>
      <c r="B172" s="16"/>
      <c r="C172" s="17"/>
      <c r="D172" s="17"/>
      <c r="E172" s="17"/>
      <c r="F172" s="15">
        <f t="shared" si="1"/>
        <v>171</v>
      </c>
      <c r="G172" s="11"/>
      <c r="H172" s="11"/>
      <c r="I172" s="6"/>
      <c r="J172" s="6"/>
      <c r="K172" s="6"/>
      <c r="L172" s="6"/>
      <c r="M172" s="6"/>
      <c r="N172" s="6"/>
      <c r="O172" s="6"/>
      <c r="P172" s="6"/>
      <c r="Q172" s="6"/>
    </row>
    <row r="173" ht="19.5" customHeight="1">
      <c r="A173" s="12">
        <v>48305.0</v>
      </c>
      <c r="B173" s="18"/>
      <c r="C173" s="19"/>
      <c r="D173" s="19"/>
      <c r="E173" s="19"/>
      <c r="F173" s="15">
        <f t="shared" si="1"/>
        <v>172</v>
      </c>
      <c r="G173" s="11"/>
      <c r="H173" s="11"/>
      <c r="I173" s="6"/>
      <c r="J173" s="6"/>
      <c r="K173" s="6"/>
      <c r="L173" s="6"/>
      <c r="M173" s="6"/>
      <c r="N173" s="6"/>
      <c r="O173" s="6"/>
      <c r="P173" s="6"/>
      <c r="Q173" s="6"/>
    </row>
    <row r="174" ht="19.5" customHeight="1">
      <c r="A174" s="12">
        <v>48335.0</v>
      </c>
      <c r="B174" s="16"/>
      <c r="C174" s="17"/>
      <c r="D174" s="17"/>
      <c r="E174" s="17"/>
      <c r="F174" s="15">
        <f t="shared" si="1"/>
        <v>173</v>
      </c>
      <c r="G174" s="11"/>
      <c r="H174" s="11"/>
      <c r="I174" s="6"/>
      <c r="J174" s="6"/>
      <c r="K174" s="6"/>
      <c r="L174" s="6"/>
      <c r="M174" s="6"/>
      <c r="N174" s="6"/>
      <c r="O174" s="6"/>
      <c r="P174" s="6"/>
      <c r="Q174" s="6"/>
    </row>
    <row r="175" ht="19.5" customHeight="1">
      <c r="A175" s="12">
        <v>48366.0</v>
      </c>
      <c r="B175" s="18"/>
      <c r="C175" s="19"/>
      <c r="D175" s="19"/>
      <c r="E175" s="19"/>
      <c r="F175" s="15">
        <f t="shared" si="1"/>
        <v>174</v>
      </c>
      <c r="G175" s="11"/>
      <c r="H175" s="11"/>
      <c r="I175" s="6"/>
      <c r="J175" s="6"/>
      <c r="K175" s="6"/>
      <c r="L175" s="6"/>
      <c r="M175" s="6"/>
      <c r="N175" s="6"/>
      <c r="O175" s="6"/>
      <c r="P175" s="6"/>
      <c r="Q175" s="6"/>
    </row>
    <row r="176" ht="19.5" customHeight="1">
      <c r="A176" s="12">
        <v>48396.0</v>
      </c>
      <c r="B176" s="16"/>
      <c r="C176" s="17"/>
      <c r="D176" s="17"/>
      <c r="E176" s="17"/>
      <c r="F176" s="15">
        <f t="shared" si="1"/>
        <v>175</v>
      </c>
      <c r="G176" s="11"/>
      <c r="H176" s="11"/>
      <c r="I176" s="6"/>
      <c r="J176" s="6"/>
      <c r="K176" s="6"/>
      <c r="L176" s="6"/>
      <c r="M176" s="6"/>
      <c r="N176" s="6"/>
      <c r="O176" s="6"/>
      <c r="P176" s="6"/>
      <c r="Q176" s="6"/>
    </row>
    <row r="177" ht="19.5" customHeight="1">
      <c r="A177" s="12">
        <v>48427.0</v>
      </c>
      <c r="B177" s="18"/>
      <c r="C177" s="19"/>
      <c r="D177" s="19"/>
      <c r="E177" s="19"/>
      <c r="F177" s="15">
        <f t="shared" si="1"/>
        <v>176</v>
      </c>
      <c r="G177" s="11"/>
      <c r="H177" s="11"/>
      <c r="I177" s="6"/>
      <c r="J177" s="6"/>
      <c r="K177" s="6"/>
      <c r="L177" s="6"/>
      <c r="M177" s="6"/>
      <c r="N177" s="6"/>
      <c r="O177" s="6"/>
      <c r="P177" s="6"/>
      <c r="Q177" s="6"/>
    </row>
    <row r="178" ht="19.5" customHeight="1">
      <c r="A178" s="12">
        <v>48458.0</v>
      </c>
      <c r="B178" s="16"/>
      <c r="C178" s="17"/>
      <c r="D178" s="17"/>
      <c r="E178" s="17"/>
      <c r="F178" s="15">
        <f t="shared" si="1"/>
        <v>177</v>
      </c>
      <c r="G178" s="11"/>
      <c r="H178" s="11"/>
      <c r="I178" s="6"/>
      <c r="J178" s="6"/>
      <c r="K178" s="6"/>
      <c r="L178" s="6"/>
      <c r="M178" s="6"/>
      <c r="N178" s="6"/>
      <c r="O178" s="6"/>
      <c r="P178" s="6"/>
      <c r="Q178" s="6"/>
    </row>
    <row r="179" ht="19.5" customHeight="1">
      <c r="A179" s="12">
        <v>48488.0</v>
      </c>
      <c r="B179" s="18"/>
      <c r="C179" s="19"/>
      <c r="D179" s="19"/>
      <c r="E179" s="19"/>
      <c r="F179" s="15">
        <f t="shared" si="1"/>
        <v>178</v>
      </c>
      <c r="G179" s="11"/>
      <c r="H179" s="11"/>
      <c r="I179" s="6"/>
      <c r="J179" s="6"/>
      <c r="K179" s="6"/>
      <c r="L179" s="6"/>
      <c r="M179" s="6"/>
      <c r="N179" s="6"/>
      <c r="O179" s="6"/>
      <c r="P179" s="6"/>
      <c r="Q179" s="6"/>
    </row>
    <row r="180" ht="19.5" customHeight="1">
      <c r="A180" s="12">
        <v>48519.0</v>
      </c>
      <c r="B180" s="16"/>
      <c r="C180" s="17"/>
      <c r="D180" s="17"/>
      <c r="E180" s="17"/>
      <c r="F180" s="15">
        <f t="shared" si="1"/>
        <v>179</v>
      </c>
      <c r="G180" s="11"/>
      <c r="H180" s="11"/>
      <c r="I180" s="6"/>
      <c r="J180" s="6"/>
      <c r="K180" s="6"/>
      <c r="L180" s="6"/>
      <c r="M180" s="6"/>
      <c r="N180" s="6"/>
      <c r="O180" s="6"/>
      <c r="P180" s="6"/>
      <c r="Q180" s="6"/>
    </row>
    <row r="181" ht="19.5" customHeight="1">
      <c r="A181" s="12">
        <v>48549.0</v>
      </c>
      <c r="B181" s="18"/>
      <c r="C181" s="19"/>
      <c r="D181" s="19"/>
      <c r="E181" s="19"/>
      <c r="F181" s="15">
        <f t="shared" si="1"/>
        <v>180</v>
      </c>
      <c r="G181" s="11"/>
      <c r="H181" s="11"/>
      <c r="I181" s="6"/>
      <c r="J181" s="6"/>
      <c r="K181" s="6"/>
      <c r="L181" s="6"/>
      <c r="M181" s="6"/>
      <c r="N181" s="6"/>
      <c r="O181" s="6"/>
      <c r="P181" s="6"/>
      <c r="Q181" s="6"/>
    </row>
    <row r="182" ht="19.5" customHeight="1">
      <c r="A182" s="12">
        <v>48580.0</v>
      </c>
      <c r="B182" s="16"/>
      <c r="C182" s="17"/>
      <c r="D182" s="17"/>
      <c r="E182" s="17"/>
      <c r="F182" s="15">
        <f t="shared" si="1"/>
        <v>181</v>
      </c>
      <c r="G182" s="11"/>
      <c r="H182" s="11"/>
      <c r="I182" s="6"/>
      <c r="J182" s="6"/>
      <c r="K182" s="6"/>
      <c r="L182" s="6"/>
      <c r="M182" s="6"/>
      <c r="N182" s="6"/>
      <c r="O182" s="6"/>
      <c r="P182" s="6"/>
      <c r="Q182" s="6"/>
    </row>
    <row r="183" ht="19.5" customHeight="1">
      <c r="A183" s="12">
        <v>48611.0</v>
      </c>
      <c r="B183" s="18"/>
      <c r="C183" s="19"/>
      <c r="D183" s="19"/>
      <c r="E183" s="19"/>
      <c r="F183" s="15">
        <f t="shared" si="1"/>
        <v>182</v>
      </c>
      <c r="G183" s="11"/>
      <c r="H183" s="11"/>
      <c r="I183" s="6"/>
      <c r="J183" s="6"/>
      <c r="K183" s="6"/>
      <c r="L183" s="6"/>
      <c r="M183" s="6"/>
      <c r="N183" s="6"/>
      <c r="O183" s="6"/>
      <c r="P183" s="6"/>
      <c r="Q183" s="6"/>
    </row>
    <row r="184" ht="19.5" customHeight="1">
      <c r="A184" s="12">
        <v>48639.0</v>
      </c>
      <c r="B184" s="16"/>
      <c r="C184" s="17"/>
      <c r="D184" s="17"/>
      <c r="E184" s="17"/>
      <c r="F184" s="15">
        <f t="shared" si="1"/>
        <v>183</v>
      </c>
      <c r="G184" s="11"/>
      <c r="H184" s="11"/>
      <c r="I184" s="6"/>
      <c r="J184" s="6"/>
      <c r="K184" s="6"/>
      <c r="L184" s="6"/>
      <c r="M184" s="6"/>
      <c r="N184" s="6"/>
      <c r="O184" s="6"/>
      <c r="P184" s="6"/>
      <c r="Q184" s="6"/>
    </row>
    <row r="185" ht="19.5" customHeight="1">
      <c r="A185" s="12">
        <v>48670.0</v>
      </c>
      <c r="B185" s="18"/>
      <c r="C185" s="19"/>
      <c r="D185" s="19"/>
      <c r="E185" s="19"/>
      <c r="F185" s="15">
        <f t="shared" si="1"/>
        <v>184</v>
      </c>
      <c r="G185" s="11"/>
      <c r="H185" s="11"/>
      <c r="I185" s="6"/>
      <c r="J185" s="6"/>
      <c r="K185" s="6"/>
      <c r="L185" s="6"/>
      <c r="M185" s="6"/>
      <c r="N185" s="6"/>
      <c r="O185" s="6"/>
      <c r="P185" s="6"/>
      <c r="Q185" s="6"/>
    </row>
    <row r="186" ht="19.5" customHeight="1">
      <c r="A186" s="12">
        <v>48700.0</v>
      </c>
      <c r="B186" s="16"/>
      <c r="C186" s="17"/>
      <c r="D186" s="17"/>
      <c r="E186" s="17"/>
      <c r="F186" s="15">
        <f t="shared" si="1"/>
        <v>185</v>
      </c>
      <c r="G186" s="11"/>
      <c r="H186" s="11"/>
      <c r="I186" s="6"/>
      <c r="J186" s="6"/>
      <c r="K186" s="6"/>
      <c r="L186" s="6"/>
      <c r="M186" s="6"/>
      <c r="N186" s="6"/>
      <c r="O186" s="6"/>
      <c r="P186" s="6"/>
      <c r="Q186" s="6"/>
    </row>
    <row r="187" ht="19.5" customHeight="1">
      <c r="A187" s="12">
        <v>48731.0</v>
      </c>
      <c r="B187" s="18"/>
      <c r="C187" s="19"/>
      <c r="D187" s="19"/>
      <c r="E187" s="19"/>
      <c r="F187" s="15">
        <f t="shared" si="1"/>
        <v>186</v>
      </c>
      <c r="G187" s="11"/>
      <c r="H187" s="11"/>
      <c r="I187" s="6"/>
      <c r="J187" s="6"/>
      <c r="K187" s="6"/>
      <c r="L187" s="6"/>
      <c r="M187" s="6"/>
      <c r="N187" s="6"/>
      <c r="O187" s="6"/>
      <c r="P187" s="6"/>
      <c r="Q187" s="6"/>
    </row>
    <row r="188" ht="19.5" customHeight="1">
      <c r="A188" s="12">
        <v>48761.0</v>
      </c>
      <c r="B188" s="16"/>
      <c r="C188" s="17"/>
      <c r="D188" s="17"/>
      <c r="E188" s="17"/>
      <c r="F188" s="15">
        <f t="shared" si="1"/>
        <v>187</v>
      </c>
      <c r="G188" s="11"/>
      <c r="H188" s="11"/>
      <c r="I188" s="6"/>
      <c r="J188" s="6"/>
      <c r="K188" s="6"/>
      <c r="L188" s="6"/>
      <c r="M188" s="6"/>
      <c r="N188" s="6"/>
      <c r="O188" s="6"/>
      <c r="P188" s="6"/>
      <c r="Q188" s="6"/>
    </row>
    <row r="189" ht="19.5" customHeight="1">
      <c r="A189" s="12">
        <v>48792.0</v>
      </c>
      <c r="B189" s="18"/>
      <c r="C189" s="19"/>
      <c r="D189" s="19"/>
      <c r="E189" s="19"/>
      <c r="F189" s="15">
        <f t="shared" si="1"/>
        <v>188</v>
      </c>
      <c r="G189" s="11"/>
      <c r="H189" s="11"/>
      <c r="I189" s="6"/>
      <c r="J189" s="6"/>
      <c r="K189" s="6"/>
      <c r="L189" s="6"/>
      <c r="M189" s="6"/>
      <c r="N189" s="6"/>
      <c r="O189" s="6"/>
      <c r="P189" s="6"/>
      <c r="Q189" s="6"/>
    </row>
    <row r="190" ht="19.5" customHeight="1">
      <c r="A190" s="12">
        <v>48823.0</v>
      </c>
      <c r="B190" s="16"/>
      <c r="C190" s="17"/>
      <c r="D190" s="17"/>
      <c r="E190" s="17"/>
      <c r="F190" s="15">
        <f t="shared" si="1"/>
        <v>189</v>
      </c>
      <c r="G190" s="11"/>
      <c r="H190" s="11"/>
      <c r="I190" s="6"/>
      <c r="J190" s="6"/>
      <c r="K190" s="6"/>
      <c r="L190" s="6"/>
      <c r="M190" s="6"/>
      <c r="N190" s="6"/>
      <c r="O190" s="6"/>
      <c r="P190" s="6"/>
      <c r="Q190" s="6"/>
    </row>
    <row r="191" ht="19.5" customHeight="1">
      <c r="A191" s="12">
        <v>48853.0</v>
      </c>
      <c r="B191" s="18"/>
      <c r="C191" s="19"/>
      <c r="D191" s="19"/>
      <c r="E191" s="19"/>
      <c r="F191" s="15">
        <f t="shared" si="1"/>
        <v>190</v>
      </c>
      <c r="G191" s="11"/>
      <c r="H191" s="11"/>
      <c r="I191" s="6"/>
      <c r="J191" s="6"/>
      <c r="K191" s="6"/>
      <c r="L191" s="6"/>
      <c r="M191" s="6"/>
      <c r="N191" s="6"/>
      <c r="O191" s="6"/>
      <c r="P191" s="6"/>
      <c r="Q191" s="6"/>
    </row>
    <row r="192" ht="19.5" customHeight="1">
      <c r="A192" s="12">
        <v>48884.0</v>
      </c>
      <c r="B192" s="16"/>
      <c r="C192" s="17"/>
      <c r="D192" s="17"/>
      <c r="E192" s="17"/>
      <c r="F192" s="15">
        <f t="shared" si="1"/>
        <v>191</v>
      </c>
      <c r="G192" s="11"/>
      <c r="H192" s="11"/>
      <c r="I192" s="6"/>
      <c r="J192" s="6"/>
      <c r="K192" s="6"/>
      <c r="L192" s="6"/>
      <c r="M192" s="6"/>
      <c r="N192" s="6"/>
      <c r="O192" s="6"/>
      <c r="P192" s="6"/>
      <c r="Q192" s="6"/>
    </row>
    <row r="193" ht="19.5" customHeight="1">
      <c r="A193" s="12">
        <v>48914.0</v>
      </c>
      <c r="B193" s="18"/>
      <c r="C193" s="19"/>
      <c r="D193" s="19"/>
      <c r="E193" s="19"/>
      <c r="F193" s="15">
        <f t="shared" si="1"/>
        <v>192</v>
      </c>
      <c r="G193" s="11"/>
      <c r="H193" s="11"/>
      <c r="I193" s="6"/>
      <c r="J193" s="6"/>
      <c r="K193" s="6"/>
      <c r="L193" s="6"/>
      <c r="M193" s="6"/>
      <c r="N193" s="6"/>
      <c r="O193" s="6"/>
      <c r="P193" s="6"/>
      <c r="Q193" s="6"/>
    </row>
    <row r="194" ht="19.5" customHeight="1">
      <c r="A194" s="12">
        <v>48945.0</v>
      </c>
      <c r="B194" s="16"/>
      <c r="C194" s="17"/>
      <c r="D194" s="17"/>
      <c r="E194" s="17"/>
      <c r="F194" s="15">
        <f t="shared" si="1"/>
        <v>193</v>
      </c>
      <c r="G194" s="11"/>
      <c r="H194" s="11"/>
      <c r="I194" s="6"/>
      <c r="J194" s="6"/>
      <c r="K194" s="6"/>
      <c r="L194" s="6"/>
      <c r="M194" s="6"/>
      <c r="N194" s="6"/>
      <c r="O194" s="6"/>
      <c r="P194" s="6"/>
      <c r="Q194" s="6"/>
    </row>
    <row r="195" ht="19.5" customHeight="1">
      <c r="A195" s="12">
        <v>48976.0</v>
      </c>
      <c r="B195" s="18"/>
      <c r="C195" s="19"/>
      <c r="D195" s="19"/>
      <c r="E195" s="19"/>
      <c r="F195" s="15">
        <f t="shared" si="1"/>
        <v>194</v>
      </c>
      <c r="G195" s="11"/>
      <c r="H195" s="11"/>
      <c r="I195" s="6"/>
      <c r="J195" s="6"/>
      <c r="K195" s="6"/>
      <c r="L195" s="6"/>
      <c r="M195" s="6"/>
      <c r="N195" s="6"/>
      <c r="O195" s="6"/>
      <c r="P195" s="6"/>
      <c r="Q195" s="6"/>
    </row>
    <row r="196" ht="19.5" customHeight="1">
      <c r="A196" s="12">
        <v>49004.0</v>
      </c>
      <c r="B196" s="16"/>
      <c r="C196" s="17"/>
      <c r="D196" s="17"/>
      <c r="E196" s="17"/>
      <c r="F196" s="15">
        <f t="shared" si="1"/>
        <v>195</v>
      </c>
      <c r="G196" s="11"/>
      <c r="H196" s="11"/>
      <c r="I196" s="6"/>
      <c r="J196" s="6"/>
      <c r="K196" s="6"/>
      <c r="L196" s="6"/>
      <c r="M196" s="6"/>
      <c r="N196" s="6"/>
      <c r="O196" s="6"/>
      <c r="P196" s="6"/>
      <c r="Q196" s="6"/>
    </row>
    <row r="197" ht="19.5" customHeight="1">
      <c r="A197" s="12">
        <v>49035.0</v>
      </c>
      <c r="B197" s="18"/>
      <c r="C197" s="19"/>
      <c r="D197" s="19"/>
      <c r="E197" s="19"/>
      <c r="F197" s="15">
        <f t="shared" si="1"/>
        <v>196</v>
      </c>
      <c r="G197" s="11"/>
      <c r="H197" s="11"/>
      <c r="I197" s="6"/>
      <c r="J197" s="6"/>
      <c r="K197" s="6"/>
      <c r="L197" s="6"/>
      <c r="M197" s="6"/>
      <c r="N197" s="6"/>
      <c r="O197" s="6"/>
      <c r="P197" s="6"/>
      <c r="Q197" s="6"/>
    </row>
    <row r="198" ht="19.5" customHeight="1">
      <c r="A198" s="12">
        <v>49065.0</v>
      </c>
      <c r="B198" s="16"/>
      <c r="C198" s="17"/>
      <c r="D198" s="17"/>
      <c r="E198" s="17"/>
      <c r="F198" s="15">
        <f t="shared" si="1"/>
        <v>197</v>
      </c>
      <c r="G198" s="11"/>
      <c r="H198" s="11"/>
      <c r="I198" s="6"/>
      <c r="J198" s="6"/>
      <c r="K198" s="6"/>
      <c r="L198" s="6"/>
      <c r="M198" s="6"/>
      <c r="N198" s="6"/>
      <c r="O198" s="6"/>
      <c r="P198" s="6"/>
      <c r="Q198" s="6"/>
    </row>
    <row r="199" ht="19.5" customHeight="1">
      <c r="A199" s="12">
        <v>49096.0</v>
      </c>
      <c r="B199" s="18"/>
      <c r="C199" s="19"/>
      <c r="D199" s="19"/>
      <c r="E199" s="19"/>
      <c r="F199" s="15">
        <f t="shared" si="1"/>
        <v>198</v>
      </c>
      <c r="G199" s="11"/>
      <c r="H199" s="11"/>
      <c r="I199" s="6"/>
      <c r="J199" s="6"/>
      <c r="K199" s="6"/>
      <c r="L199" s="6"/>
      <c r="M199" s="6"/>
      <c r="N199" s="6"/>
      <c r="O199" s="6"/>
      <c r="P199" s="6"/>
      <c r="Q199" s="6"/>
    </row>
    <row r="200" ht="19.5" customHeight="1">
      <c r="A200" s="12">
        <v>49126.0</v>
      </c>
      <c r="B200" s="16"/>
      <c r="C200" s="17"/>
      <c r="D200" s="17"/>
      <c r="E200" s="17"/>
      <c r="F200" s="15">
        <f t="shared" si="1"/>
        <v>199</v>
      </c>
      <c r="G200" s="11"/>
      <c r="H200" s="11"/>
      <c r="I200" s="6"/>
      <c r="J200" s="6"/>
      <c r="K200" s="6"/>
      <c r="L200" s="6"/>
      <c r="M200" s="6"/>
      <c r="N200" s="6"/>
      <c r="O200" s="6"/>
      <c r="P200" s="6"/>
      <c r="Q200" s="6"/>
    </row>
    <row r="201" ht="19.5" customHeight="1">
      <c r="A201" s="12">
        <v>49157.0</v>
      </c>
      <c r="B201" s="18"/>
      <c r="C201" s="19"/>
      <c r="D201" s="19"/>
      <c r="E201" s="19"/>
      <c r="F201" s="15">
        <f t="shared" si="1"/>
        <v>200</v>
      </c>
      <c r="G201" s="11"/>
      <c r="H201" s="11"/>
      <c r="I201" s="6"/>
      <c r="J201" s="6"/>
      <c r="K201" s="6"/>
      <c r="L201" s="6"/>
      <c r="M201" s="6"/>
      <c r="N201" s="6"/>
      <c r="O201" s="6"/>
      <c r="P201" s="6"/>
      <c r="Q201" s="6"/>
    </row>
    <row r="202" ht="19.5" customHeight="1">
      <c r="A202" s="12">
        <v>49188.0</v>
      </c>
      <c r="B202" s="16"/>
      <c r="C202" s="17"/>
      <c r="D202" s="17"/>
      <c r="E202" s="17"/>
      <c r="F202" s="15">
        <f t="shared" si="1"/>
        <v>201</v>
      </c>
      <c r="G202" s="11"/>
      <c r="H202" s="11"/>
      <c r="I202" s="6"/>
      <c r="J202" s="6"/>
      <c r="K202" s="6"/>
      <c r="L202" s="6"/>
      <c r="M202" s="6"/>
      <c r="N202" s="6"/>
      <c r="O202" s="6"/>
      <c r="P202" s="6"/>
      <c r="Q202" s="6"/>
    </row>
    <row r="203" ht="19.5" customHeight="1">
      <c r="A203" s="12">
        <v>49218.0</v>
      </c>
      <c r="B203" s="18"/>
      <c r="C203" s="19"/>
      <c r="D203" s="19"/>
      <c r="E203" s="19"/>
      <c r="F203" s="15">
        <f t="shared" si="1"/>
        <v>202</v>
      </c>
      <c r="G203" s="11"/>
      <c r="H203" s="11"/>
      <c r="I203" s="6"/>
      <c r="J203" s="6"/>
      <c r="K203" s="6"/>
      <c r="L203" s="6"/>
      <c r="M203" s="6"/>
      <c r="N203" s="6"/>
      <c r="O203" s="6"/>
      <c r="P203" s="6"/>
      <c r="Q203" s="6"/>
    </row>
    <row r="204" ht="19.5" customHeight="1">
      <c r="A204" s="12">
        <v>49249.0</v>
      </c>
      <c r="B204" s="16"/>
      <c r="C204" s="17"/>
      <c r="D204" s="17"/>
      <c r="E204" s="17"/>
      <c r="F204" s="15">
        <f t="shared" si="1"/>
        <v>203</v>
      </c>
      <c r="G204" s="11"/>
      <c r="H204" s="11"/>
      <c r="I204" s="6"/>
      <c r="J204" s="6"/>
      <c r="K204" s="6"/>
      <c r="L204" s="6"/>
      <c r="M204" s="6"/>
      <c r="N204" s="6"/>
      <c r="O204" s="6"/>
      <c r="P204" s="6"/>
      <c r="Q204" s="6"/>
    </row>
    <row r="205" ht="19.5" customHeight="1">
      <c r="A205" s="12">
        <v>49279.0</v>
      </c>
      <c r="B205" s="18"/>
      <c r="C205" s="19"/>
      <c r="D205" s="19"/>
      <c r="E205" s="19"/>
      <c r="F205" s="15">
        <f t="shared" si="1"/>
        <v>204</v>
      </c>
      <c r="G205" s="11"/>
      <c r="H205" s="11"/>
      <c r="I205" s="6"/>
      <c r="J205" s="6"/>
      <c r="K205" s="6"/>
      <c r="L205" s="6"/>
      <c r="M205" s="6"/>
      <c r="N205" s="6"/>
      <c r="O205" s="6"/>
      <c r="P205" s="6"/>
      <c r="Q205" s="6"/>
    </row>
    <row r="206" ht="19.5" customHeight="1">
      <c r="A206" s="12">
        <v>49310.0</v>
      </c>
      <c r="B206" s="16"/>
      <c r="C206" s="17"/>
      <c r="D206" s="17"/>
      <c r="E206" s="17"/>
      <c r="F206" s="15">
        <f t="shared" si="1"/>
        <v>205</v>
      </c>
      <c r="G206" s="11"/>
      <c r="H206" s="11"/>
      <c r="I206" s="6"/>
      <c r="J206" s="6"/>
      <c r="K206" s="6"/>
      <c r="L206" s="6"/>
      <c r="M206" s="6"/>
      <c r="N206" s="6"/>
      <c r="O206" s="6"/>
      <c r="P206" s="6"/>
      <c r="Q206" s="6"/>
    </row>
    <row r="207" ht="19.5" customHeight="1">
      <c r="A207" s="12">
        <v>49341.0</v>
      </c>
      <c r="B207" s="18"/>
      <c r="C207" s="19"/>
      <c r="D207" s="19"/>
      <c r="E207" s="19"/>
      <c r="F207" s="15">
        <f t="shared" si="1"/>
        <v>206</v>
      </c>
      <c r="G207" s="11"/>
      <c r="H207" s="11"/>
      <c r="I207" s="6"/>
      <c r="J207" s="6"/>
      <c r="K207" s="6"/>
      <c r="L207" s="6"/>
      <c r="M207" s="6"/>
      <c r="N207" s="6"/>
      <c r="O207" s="6"/>
      <c r="P207" s="6"/>
      <c r="Q207" s="6"/>
    </row>
    <row r="208" ht="19.5" customHeight="1">
      <c r="A208" s="12">
        <v>49369.0</v>
      </c>
      <c r="B208" s="16"/>
      <c r="C208" s="17"/>
      <c r="D208" s="17"/>
      <c r="E208" s="17"/>
      <c r="F208" s="15">
        <f t="shared" si="1"/>
        <v>207</v>
      </c>
      <c r="G208" s="11"/>
      <c r="H208" s="11"/>
      <c r="I208" s="6"/>
      <c r="J208" s="6"/>
      <c r="K208" s="6"/>
      <c r="L208" s="6"/>
      <c r="M208" s="6"/>
      <c r="N208" s="6"/>
      <c r="O208" s="6"/>
      <c r="P208" s="6"/>
      <c r="Q208" s="6"/>
    </row>
    <row r="209" ht="19.5" customHeight="1">
      <c r="A209" s="12">
        <v>49400.0</v>
      </c>
      <c r="B209" s="18"/>
      <c r="C209" s="19"/>
      <c r="D209" s="19"/>
      <c r="E209" s="19"/>
      <c r="F209" s="15">
        <f t="shared" si="1"/>
        <v>208</v>
      </c>
      <c r="G209" s="11"/>
      <c r="H209" s="11"/>
      <c r="I209" s="6"/>
      <c r="J209" s="6"/>
      <c r="K209" s="6"/>
      <c r="L209" s="6"/>
      <c r="M209" s="6"/>
      <c r="N209" s="6"/>
      <c r="O209" s="6"/>
      <c r="P209" s="6"/>
      <c r="Q209" s="6"/>
    </row>
    <row r="210" ht="19.5" customHeight="1">
      <c r="A210" s="12">
        <v>49430.0</v>
      </c>
      <c r="B210" s="16"/>
      <c r="C210" s="17"/>
      <c r="D210" s="17"/>
      <c r="E210" s="17"/>
      <c r="F210" s="15">
        <f t="shared" si="1"/>
        <v>209</v>
      </c>
      <c r="G210" s="11"/>
      <c r="H210" s="11"/>
      <c r="I210" s="6"/>
      <c r="J210" s="6"/>
      <c r="K210" s="6"/>
      <c r="L210" s="6"/>
      <c r="M210" s="6"/>
      <c r="N210" s="6"/>
      <c r="O210" s="6"/>
      <c r="P210" s="6"/>
      <c r="Q210" s="6"/>
    </row>
    <row r="211" ht="19.5" customHeight="1">
      <c r="A211" s="12">
        <v>49461.0</v>
      </c>
      <c r="B211" s="18"/>
      <c r="C211" s="19"/>
      <c r="D211" s="19"/>
      <c r="E211" s="19"/>
      <c r="F211" s="15">
        <f t="shared" si="1"/>
        <v>210</v>
      </c>
      <c r="G211" s="11"/>
      <c r="H211" s="11"/>
      <c r="I211" s="6"/>
      <c r="J211" s="6"/>
      <c r="K211" s="6"/>
      <c r="L211" s="6"/>
      <c r="M211" s="6"/>
      <c r="N211" s="6"/>
      <c r="O211" s="6"/>
      <c r="P211" s="6"/>
      <c r="Q211" s="6"/>
    </row>
    <row r="212" ht="19.5" customHeight="1">
      <c r="A212" s="12">
        <v>49491.0</v>
      </c>
      <c r="B212" s="16"/>
      <c r="C212" s="17"/>
      <c r="D212" s="17"/>
      <c r="E212" s="17"/>
      <c r="F212" s="15">
        <f t="shared" si="1"/>
        <v>211</v>
      </c>
      <c r="G212" s="11"/>
      <c r="H212" s="11"/>
      <c r="I212" s="6"/>
      <c r="J212" s="6"/>
      <c r="K212" s="6"/>
      <c r="L212" s="6"/>
      <c r="M212" s="6"/>
      <c r="N212" s="6"/>
      <c r="O212" s="6"/>
      <c r="P212" s="6"/>
      <c r="Q212" s="6"/>
    </row>
    <row r="213" ht="19.5" customHeight="1">
      <c r="A213" s="12">
        <v>49522.0</v>
      </c>
      <c r="B213" s="18"/>
      <c r="C213" s="19"/>
      <c r="D213" s="19"/>
      <c r="E213" s="19"/>
      <c r="F213" s="15">
        <f t="shared" si="1"/>
        <v>212</v>
      </c>
      <c r="G213" s="11"/>
      <c r="H213" s="11"/>
      <c r="I213" s="6"/>
      <c r="J213" s="6"/>
      <c r="K213" s="6"/>
      <c r="L213" s="6"/>
      <c r="M213" s="6"/>
      <c r="N213" s="6"/>
      <c r="O213" s="6"/>
      <c r="P213" s="6"/>
      <c r="Q213" s="6"/>
    </row>
    <row r="214" ht="19.5" customHeight="1">
      <c r="A214" s="12">
        <v>49553.0</v>
      </c>
      <c r="B214" s="16"/>
      <c r="C214" s="17"/>
      <c r="D214" s="17"/>
      <c r="E214" s="17"/>
      <c r="F214" s="15">
        <f t="shared" si="1"/>
        <v>213</v>
      </c>
      <c r="G214" s="11"/>
      <c r="H214" s="11"/>
      <c r="I214" s="6"/>
      <c r="J214" s="6"/>
      <c r="K214" s="6"/>
      <c r="L214" s="6"/>
      <c r="M214" s="6"/>
      <c r="N214" s="6"/>
      <c r="O214" s="6"/>
      <c r="P214" s="6"/>
      <c r="Q214" s="6"/>
    </row>
    <row r="215" ht="19.5" customHeight="1">
      <c r="A215" s="12">
        <v>49583.0</v>
      </c>
      <c r="B215" s="18"/>
      <c r="C215" s="19"/>
      <c r="D215" s="19"/>
      <c r="E215" s="19"/>
      <c r="F215" s="15">
        <f t="shared" si="1"/>
        <v>214</v>
      </c>
      <c r="G215" s="11"/>
      <c r="H215" s="11"/>
      <c r="I215" s="6"/>
      <c r="J215" s="6"/>
      <c r="K215" s="6"/>
      <c r="L215" s="6"/>
      <c r="M215" s="6"/>
      <c r="N215" s="6"/>
      <c r="O215" s="6"/>
      <c r="P215" s="6"/>
      <c r="Q215" s="6"/>
    </row>
    <row r="216" ht="19.5" customHeight="1">
      <c r="A216" s="12">
        <v>49614.0</v>
      </c>
      <c r="B216" s="16"/>
      <c r="C216" s="17"/>
      <c r="D216" s="17"/>
      <c r="E216" s="17"/>
      <c r="F216" s="15">
        <f t="shared" si="1"/>
        <v>215</v>
      </c>
      <c r="G216" s="11"/>
      <c r="H216" s="11"/>
      <c r="I216" s="6"/>
      <c r="J216" s="6"/>
      <c r="K216" s="6"/>
      <c r="L216" s="6"/>
      <c r="M216" s="6"/>
      <c r="N216" s="6"/>
      <c r="O216" s="6"/>
      <c r="P216" s="6"/>
      <c r="Q216" s="6"/>
    </row>
    <row r="217" ht="19.5" customHeight="1">
      <c r="A217" s="12">
        <v>49644.0</v>
      </c>
      <c r="B217" s="18"/>
      <c r="C217" s="19"/>
      <c r="D217" s="19"/>
      <c r="E217" s="19"/>
      <c r="F217" s="15">
        <f t="shared" si="1"/>
        <v>216</v>
      </c>
      <c r="G217" s="11"/>
      <c r="H217" s="11"/>
      <c r="I217" s="6"/>
      <c r="J217" s="6"/>
      <c r="K217" s="6"/>
      <c r="L217" s="6"/>
      <c r="M217" s="6"/>
      <c r="N217" s="6"/>
      <c r="O217" s="6"/>
      <c r="P217" s="6"/>
      <c r="Q217" s="6"/>
    </row>
    <row r="218" ht="19.5" customHeight="1">
      <c r="A218" s="12">
        <v>49675.0</v>
      </c>
      <c r="B218" s="16"/>
      <c r="C218" s="17"/>
      <c r="D218" s="17"/>
      <c r="E218" s="17"/>
      <c r="F218" s="15">
        <f t="shared" si="1"/>
        <v>217</v>
      </c>
      <c r="G218" s="11"/>
      <c r="H218" s="11"/>
      <c r="I218" s="6"/>
      <c r="J218" s="6"/>
      <c r="K218" s="6"/>
      <c r="L218" s="6"/>
      <c r="M218" s="6"/>
      <c r="N218" s="6"/>
      <c r="O218" s="6"/>
      <c r="P218" s="6"/>
      <c r="Q218" s="6"/>
    </row>
    <row r="219" ht="19.5" customHeight="1">
      <c r="A219" s="12">
        <v>49706.0</v>
      </c>
      <c r="B219" s="18"/>
      <c r="C219" s="19"/>
      <c r="D219" s="19"/>
      <c r="E219" s="19"/>
      <c r="F219" s="15">
        <f t="shared" si="1"/>
        <v>218</v>
      </c>
      <c r="G219" s="11"/>
      <c r="H219" s="11"/>
      <c r="I219" s="6"/>
      <c r="J219" s="6"/>
      <c r="K219" s="6"/>
      <c r="L219" s="6"/>
      <c r="M219" s="6"/>
      <c r="N219" s="6"/>
      <c r="O219" s="6"/>
      <c r="P219" s="6"/>
      <c r="Q219" s="6"/>
    </row>
    <row r="220" ht="19.5" customHeight="1">
      <c r="A220" s="12">
        <v>49735.0</v>
      </c>
      <c r="B220" s="16"/>
      <c r="C220" s="17"/>
      <c r="D220" s="17"/>
      <c r="E220" s="17"/>
      <c r="F220" s="15">
        <f t="shared" si="1"/>
        <v>219</v>
      </c>
      <c r="G220" s="11"/>
      <c r="H220" s="11"/>
      <c r="I220" s="6"/>
      <c r="J220" s="6"/>
      <c r="K220" s="6"/>
      <c r="L220" s="6"/>
      <c r="M220" s="6"/>
      <c r="N220" s="6"/>
      <c r="O220" s="6"/>
      <c r="P220" s="6"/>
      <c r="Q220" s="6"/>
    </row>
    <row r="221" ht="19.5" customHeight="1">
      <c r="A221" s="12">
        <v>49766.0</v>
      </c>
      <c r="B221" s="18"/>
      <c r="C221" s="19"/>
      <c r="D221" s="19"/>
      <c r="E221" s="19"/>
      <c r="F221" s="15">
        <f t="shared" si="1"/>
        <v>220</v>
      </c>
      <c r="G221" s="11"/>
      <c r="H221" s="11"/>
      <c r="I221" s="6"/>
      <c r="J221" s="6"/>
      <c r="K221" s="6"/>
      <c r="L221" s="6"/>
      <c r="M221" s="6"/>
      <c r="N221" s="6"/>
      <c r="O221" s="6"/>
      <c r="P221" s="6"/>
      <c r="Q221" s="6"/>
    </row>
    <row r="222" ht="19.5" customHeight="1">
      <c r="A222" s="12">
        <v>49796.0</v>
      </c>
      <c r="B222" s="16"/>
      <c r="C222" s="17"/>
      <c r="D222" s="17"/>
      <c r="E222" s="17"/>
      <c r="F222" s="15">
        <f t="shared" si="1"/>
        <v>221</v>
      </c>
      <c r="G222" s="11"/>
      <c r="H222" s="11"/>
      <c r="I222" s="6"/>
      <c r="J222" s="6"/>
      <c r="K222" s="6"/>
      <c r="L222" s="6"/>
      <c r="M222" s="6"/>
      <c r="N222" s="6"/>
      <c r="O222" s="6"/>
      <c r="P222" s="6"/>
      <c r="Q222" s="6"/>
    </row>
    <row r="223" ht="19.5" customHeight="1">
      <c r="A223" s="12">
        <v>49827.0</v>
      </c>
      <c r="B223" s="18"/>
      <c r="C223" s="19"/>
      <c r="D223" s="19"/>
      <c r="E223" s="19"/>
      <c r="F223" s="15">
        <f t="shared" si="1"/>
        <v>222</v>
      </c>
      <c r="G223" s="11"/>
      <c r="H223" s="11"/>
      <c r="I223" s="6"/>
      <c r="J223" s="6"/>
      <c r="K223" s="6"/>
      <c r="L223" s="6"/>
      <c r="M223" s="6"/>
      <c r="N223" s="6"/>
      <c r="O223" s="6"/>
      <c r="P223" s="6"/>
      <c r="Q223" s="6"/>
    </row>
    <row r="224" ht="19.5" customHeight="1">
      <c r="A224" s="12">
        <v>49857.0</v>
      </c>
      <c r="B224" s="16"/>
      <c r="C224" s="17"/>
      <c r="D224" s="17"/>
      <c r="E224" s="17"/>
      <c r="F224" s="15">
        <f t="shared" si="1"/>
        <v>223</v>
      </c>
      <c r="G224" s="11"/>
      <c r="H224" s="11"/>
      <c r="I224" s="6"/>
      <c r="J224" s="6"/>
      <c r="K224" s="6"/>
      <c r="L224" s="6"/>
      <c r="M224" s="6"/>
      <c r="N224" s="6"/>
      <c r="O224" s="6"/>
      <c r="P224" s="6"/>
      <c r="Q224" s="6"/>
    </row>
    <row r="225" ht="19.5" customHeight="1">
      <c r="A225" s="12">
        <v>49888.0</v>
      </c>
      <c r="B225" s="18"/>
      <c r="C225" s="19"/>
      <c r="D225" s="19"/>
      <c r="E225" s="19"/>
      <c r="F225" s="15">
        <f t="shared" si="1"/>
        <v>224</v>
      </c>
      <c r="G225" s="11"/>
      <c r="H225" s="11"/>
      <c r="I225" s="6"/>
      <c r="J225" s="6"/>
      <c r="K225" s="6"/>
      <c r="L225" s="6"/>
      <c r="M225" s="6"/>
      <c r="N225" s="6"/>
      <c r="O225" s="6"/>
      <c r="P225" s="6"/>
      <c r="Q225" s="6"/>
    </row>
    <row r="226" ht="19.5" customHeight="1">
      <c r="A226" s="12">
        <v>49919.0</v>
      </c>
      <c r="B226" s="16"/>
      <c r="C226" s="17"/>
      <c r="D226" s="17"/>
      <c r="E226" s="17"/>
      <c r="F226" s="15">
        <f t="shared" si="1"/>
        <v>225</v>
      </c>
      <c r="G226" s="11"/>
      <c r="H226" s="11"/>
      <c r="I226" s="6"/>
      <c r="J226" s="6"/>
      <c r="K226" s="6"/>
      <c r="L226" s="6"/>
      <c r="M226" s="6"/>
      <c r="N226" s="6"/>
      <c r="O226" s="6"/>
      <c r="P226" s="6"/>
      <c r="Q226" s="6"/>
    </row>
    <row r="227" ht="19.5" customHeight="1">
      <c r="A227" s="12">
        <v>49949.0</v>
      </c>
      <c r="B227" s="18"/>
      <c r="C227" s="19"/>
      <c r="D227" s="19"/>
      <c r="E227" s="19"/>
      <c r="F227" s="15">
        <f t="shared" si="1"/>
        <v>226</v>
      </c>
      <c r="G227" s="11"/>
      <c r="H227" s="11"/>
      <c r="I227" s="6"/>
      <c r="J227" s="6"/>
      <c r="K227" s="6"/>
      <c r="L227" s="6"/>
      <c r="M227" s="6"/>
      <c r="N227" s="6"/>
      <c r="O227" s="6"/>
      <c r="P227" s="6"/>
      <c r="Q227" s="6"/>
    </row>
    <row r="228" ht="19.5" customHeight="1">
      <c r="A228" s="12">
        <v>49980.0</v>
      </c>
      <c r="B228" s="16"/>
      <c r="C228" s="17"/>
      <c r="D228" s="17"/>
      <c r="E228" s="17"/>
      <c r="F228" s="15">
        <f t="shared" si="1"/>
        <v>227</v>
      </c>
      <c r="G228" s="11"/>
      <c r="H228" s="11"/>
      <c r="I228" s="6"/>
      <c r="J228" s="6"/>
      <c r="K228" s="6"/>
      <c r="L228" s="6"/>
      <c r="M228" s="6"/>
      <c r="N228" s="6"/>
      <c r="O228" s="6"/>
      <c r="P228" s="6"/>
      <c r="Q228" s="6"/>
    </row>
    <row r="229" ht="19.5" customHeight="1">
      <c r="A229" s="12">
        <v>50010.0</v>
      </c>
      <c r="B229" s="18"/>
      <c r="C229" s="19"/>
      <c r="D229" s="19"/>
      <c r="E229" s="19"/>
      <c r="F229" s="15">
        <f t="shared" si="1"/>
        <v>228</v>
      </c>
      <c r="G229" s="11"/>
      <c r="H229" s="11"/>
      <c r="I229" s="6"/>
      <c r="J229" s="6"/>
      <c r="K229" s="6"/>
      <c r="L229" s="6"/>
      <c r="M229" s="6"/>
      <c r="N229" s="6"/>
      <c r="O229" s="6"/>
      <c r="P229" s="6"/>
      <c r="Q229" s="6"/>
    </row>
    <row r="230" ht="19.5" customHeight="1">
      <c r="A230" s="12">
        <v>50041.0</v>
      </c>
      <c r="B230" s="16"/>
      <c r="C230" s="17"/>
      <c r="D230" s="17"/>
      <c r="E230" s="17"/>
      <c r="F230" s="15">
        <f t="shared" si="1"/>
        <v>229</v>
      </c>
      <c r="G230" s="11"/>
      <c r="H230" s="11"/>
      <c r="I230" s="6"/>
      <c r="J230" s="6"/>
      <c r="K230" s="6"/>
      <c r="L230" s="6"/>
      <c r="M230" s="6"/>
      <c r="N230" s="6"/>
      <c r="O230" s="6"/>
      <c r="P230" s="6"/>
      <c r="Q230" s="6"/>
    </row>
    <row r="231" ht="19.5" customHeight="1">
      <c r="A231" s="12">
        <v>50072.0</v>
      </c>
      <c r="B231" s="18"/>
      <c r="C231" s="19"/>
      <c r="D231" s="19"/>
      <c r="E231" s="19"/>
      <c r="F231" s="15">
        <f t="shared" si="1"/>
        <v>230</v>
      </c>
      <c r="G231" s="11"/>
      <c r="H231" s="11"/>
      <c r="I231" s="6"/>
      <c r="J231" s="6"/>
      <c r="K231" s="6"/>
      <c r="L231" s="6"/>
      <c r="M231" s="6"/>
      <c r="N231" s="6"/>
      <c r="O231" s="6"/>
      <c r="P231" s="6"/>
      <c r="Q231" s="6"/>
    </row>
    <row r="232" ht="19.5" customHeight="1">
      <c r="A232" s="12">
        <v>50100.0</v>
      </c>
      <c r="B232" s="16"/>
      <c r="C232" s="17"/>
      <c r="D232" s="17"/>
      <c r="E232" s="17"/>
      <c r="F232" s="15">
        <f t="shared" si="1"/>
        <v>231</v>
      </c>
      <c r="G232" s="11"/>
      <c r="H232" s="11"/>
      <c r="I232" s="6"/>
      <c r="J232" s="6"/>
      <c r="K232" s="6"/>
      <c r="L232" s="6"/>
      <c r="M232" s="6"/>
      <c r="N232" s="6"/>
      <c r="O232" s="6"/>
      <c r="P232" s="6"/>
      <c r="Q232" s="6"/>
    </row>
    <row r="233" ht="19.5" customHeight="1">
      <c r="A233" s="12">
        <v>50131.0</v>
      </c>
      <c r="B233" s="18"/>
      <c r="C233" s="19"/>
      <c r="D233" s="19"/>
      <c r="E233" s="19"/>
      <c r="F233" s="15">
        <f t="shared" si="1"/>
        <v>232</v>
      </c>
      <c r="G233" s="11"/>
      <c r="H233" s="11"/>
      <c r="I233" s="6"/>
      <c r="J233" s="6"/>
      <c r="K233" s="6"/>
      <c r="L233" s="6"/>
      <c r="M233" s="6"/>
      <c r="N233" s="6"/>
      <c r="O233" s="6"/>
      <c r="P233" s="6"/>
      <c r="Q233" s="6"/>
    </row>
    <row r="234" ht="19.5" customHeight="1">
      <c r="A234" s="12">
        <v>50161.0</v>
      </c>
      <c r="B234" s="16"/>
      <c r="C234" s="17"/>
      <c r="D234" s="17"/>
      <c r="E234" s="17"/>
      <c r="F234" s="15">
        <f t="shared" si="1"/>
        <v>233</v>
      </c>
      <c r="G234" s="11"/>
      <c r="H234" s="11"/>
      <c r="I234" s="6"/>
      <c r="J234" s="6"/>
      <c r="K234" s="6"/>
      <c r="L234" s="6"/>
      <c r="M234" s="6"/>
      <c r="N234" s="6"/>
      <c r="O234" s="6"/>
      <c r="P234" s="6"/>
      <c r="Q234" s="6"/>
    </row>
    <row r="235" ht="19.5" customHeight="1">
      <c r="A235" s="12">
        <v>50192.0</v>
      </c>
      <c r="B235" s="18"/>
      <c r="C235" s="19"/>
      <c r="D235" s="19"/>
      <c r="E235" s="19"/>
      <c r="F235" s="15">
        <f t="shared" si="1"/>
        <v>234</v>
      </c>
      <c r="G235" s="11"/>
      <c r="H235" s="11"/>
      <c r="I235" s="6"/>
      <c r="J235" s="6"/>
      <c r="K235" s="6"/>
      <c r="L235" s="6"/>
      <c r="M235" s="6"/>
      <c r="N235" s="6"/>
      <c r="O235" s="6"/>
      <c r="P235" s="6"/>
      <c r="Q235" s="6"/>
    </row>
    <row r="236" ht="19.5" customHeight="1">
      <c r="A236" s="12">
        <v>50222.0</v>
      </c>
      <c r="B236" s="16"/>
      <c r="C236" s="17"/>
      <c r="D236" s="17"/>
      <c r="E236" s="17"/>
      <c r="F236" s="15">
        <f t="shared" si="1"/>
        <v>235</v>
      </c>
      <c r="G236" s="11"/>
      <c r="H236" s="11"/>
      <c r="I236" s="6"/>
      <c r="J236" s="6"/>
      <c r="K236" s="6"/>
      <c r="L236" s="6"/>
      <c r="M236" s="6"/>
      <c r="N236" s="6"/>
      <c r="O236" s="6"/>
      <c r="P236" s="6"/>
      <c r="Q236" s="6"/>
    </row>
    <row r="237" ht="19.5" customHeight="1">
      <c r="A237" s="12">
        <v>50253.0</v>
      </c>
      <c r="B237" s="18"/>
      <c r="C237" s="19"/>
      <c r="D237" s="19"/>
      <c r="E237" s="19"/>
      <c r="F237" s="15">
        <f t="shared" si="1"/>
        <v>236</v>
      </c>
      <c r="G237" s="11"/>
      <c r="H237" s="11"/>
      <c r="I237" s="6"/>
      <c r="J237" s="6"/>
      <c r="K237" s="6"/>
      <c r="L237" s="6"/>
      <c r="M237" s="6"/>
      <c r="N237" s="6"/>
      <c r="O237" s="6"/>
      <c r="P237" s="6"/>
      <c r="Q237" s="6"/>
    </row>
    <row r="238" ht="19.5" customHeight="1">
      <c r="A238" s="12">
        <v>50284.0</v>
      </c>
      <c r="B238" s="16"/>
      <c r="C238" s="17"/>
      <c r="D238" s="17"/>
      <c r="E238" s="17"/>
      <c r="F238" s="15">
        <f t="shared" si="1"/>
        <v>237</v>
      </c>
      <c r="G238" s="11"/>
      <c r="H238" s="11"/>
      <c r="I238" s="6"/>
      <c r="J238" s="6"/>
      <c r="K238" s="6"/>
      <c r="L238" s="6"/>
      <c r="M238" s="6"/>
      <c r="N238" s="6"/>
      <c r="O238" s="6"/>
      <c r="P238" s="6"/>
      <c r="Q238" s="6"/>
    </row>
    <row r="239" ht="19.5" customHeight="1">
      <c r="A239" s="12">
        <v>50314.0</v>
      </c>
      <c r="B239" s="18"/>
      <c r="C239" s="19"/>
      <c r="D239" s="19"/>
      <c r="E239" s="19"/>
      <c r="F239" s="15">
        <f t="shared" si="1"/>
        <v>238</v>
      </c>
      <c r="G239" s="11"/>
      <c r="H239" s="11"/>
      <c r="I239" s="6"/>
      <c r="J239" s="6"/>
      <c r="K239" s="6"/>
      <c r="L239" s="6"/>
      <c r="M239" s="6"/>
      <c r="N239" s="6"/>
      <c r="O239" s="6"/>
      <c r="P239" s="6"/>
      <c r="Q239" s="6"/>
    </row>
    <row r="240" ht="19.5" customHeight="1">
      <c r="A240" s="12">
        <v>50345.0</v>
      </c>
      <c r="B240" s="16"/>
      <c r="C240" s="17"/>
      <c r="D240" s="17"/>
      <c r="E240" s="17"/>
      <c r="F240" s="15">
        <f t="shared" si="1"/>
        <v>239</v>
      </c>
      <c r="G240" s="11"/>
      <c r="H240" s="11"/>
      <c r="I240" s="6"/>
      <c r="J240" s="6"/>
      <c r="K240" s="6"/>
      <c r="L240" s="6"/>
      <c r="M240" s="6"/>
      <c r="N240" s="6"/>
      <c r="O240" s="6"/>
      <c r="P240" s="6"/>
      <c r="Q240" s="6"/>
    </row>
    <row r="241" ht="19.5" customHeight="1">
      <c r="A241" s="12">
        <v>50375.0</v>
      </c>
      <c r="B241" s="18"/>
      <c r="C241" s="19"/>
      <c r="D241" s="19"/>
      <c r="E241" s="19"/>
      <c r="F241" s="15">
        <f t="shared" si="1"/>
        <v>240</v>
      </c>
      <c r="G241" s="11"/>
      <c r="H241" s="11"/>
      <c r="I241" s="6"/>
      <c r="J241" s="6"/>
      <c r="K241" s="6"/>
      <c r="L241" s="6"/>
      <c r="M241" s="6"/>
      <c r="N241" s="6"/>
      <c r="O241" s="6"/>
      <c r="P241" s="6"/>
      <c r="Q241" s="6"/>
    </row>
    <row r="242" ht="19.5" customHeight="1">
      <c r="A242" s="12">
        <v>50406.0</v>
      </c>
      <c r="B242" s="16"/>
      <c r="C242" s="17"/>
      <c r="D242" s="17"/>
      <c r="E242" s="17"/>
      <c r="F242" s="15">
        <f t="shared" si="1"/>
        <v>241</v>
      </c>
      <c r="G242" s="11"/>
      <c r="H242" s="11"/>
      <c r="I242" s="6"/>
      <c r="J242" s="6"/>
      <c r="K242" s="6"/>
      <c r="L242" s="6"/>
      <c r="M242" s="6"/>
      <c r="N242" s="6"/>
      <c r="O242" s="6"/>
      <c r="P242" s="6"/>
      <c r="Q242" s="6"/>
    </row>
    <row r="243" ht="19.5" customHeight="1">
      <c r="A243" s="12">
        <v>50437.0</v>
      </c>
      <c r="B243" s="18"/>
      <c r="C243" s="19"/>
      <c r="D243" s="19"/>
      <c r="E243" s="19"/>
      <c r="F243" s="15">
        <f t="shared" si="1"/>
        <v>242</v>
      </c>
      <c r="G243" s="11"/>
      <c r="H243" s="11"/>
      <c r="I243" s="6"/>
      <c r="J243" s="6"/>
      <c r="K243" s="6"/>
      <c r="L243" s="6"/>
      <c r="M243" s="6"/>
      <c r="N243" s="6"/>
      <c r="O243" s="6"/>
      <c r="P243" s="6"/>
      <c r="Q243" s="6"/>
    </row>
    <row r="244" ht="19.5" customHeight="1">
      <c r="A244" s="12">
        <v>50465.0</v>
      </c>
      <c r="B244" s="16"/>
      <c r="C244" s="17"/>
      <c r="D244" s="17"/>
      <c r="E244" s="17"/>
      <c r="F244" s="15">
        <f t="shared" si="1"/>
        <v>243</v>
      </c>
      <c r="G244" s="11"/>
      <c r="H244" s="11"/>
      <c r="I244" s="6"/>
      <c r="J244" s="6"/>
      <c r="K244" s="6"/>
      <c r="L244" s="6"/>
      <c r="M244" s="6"/>
      <c r="N244" s="6"/>
      <c r="O244" s="6"/>
      <c r="P244" s="6"/>
      <c r="Q244" s="6"/>
    </row>
    <row r="245" ht="19.5" customHeight="1">
      <c r="A245" s="12">
        <v>50496.0</v>
      </c>
      <c r="B245" s="18"/>
      <c r="C245" s="19"/>
      <c r="D245" s="19"/>
      <c r="E245" s="19"/>
      <c r="F245" s="15">
        <f t="shared" si="1"/>
        <v>244</v>
      </c>
      <c r="G245" s="11"/>
      <c r="H245" s="11"/>
      <c r="I245" s="6"/>
      <c r="J245" s="6"/>
      <c r="K245" s="6"/>
      <c r="L245" s="6"/>
      <c r="M245" s="6"/>
      <c r="N245" s="6"/>
      <c r="O245" s="6"/>
      <c r="P245" s="6"/>
      <c r="Q245" s="6"/>
    </row>
    <row r="246" ht="19.5" customHeight="1">
      <c r="A246" s="12">
        <v>50526.0</v>
      </c>
      <c r="B246" s="16"/>
      <c r="C246" s="17"/>
      <c r="D246" s="17"/>
      <c r="E246" s="17"/>
      <c r="F246" s="15">
        <f t="shared" si="1"/>
        <v>245</v>
      </c>
      <c r="G246" s="11"/>
      <c r="H246" s="11"/>
      <c r="I246" s="6"/>
      <c r="J246" s="6"/>
      <c r="K246" s="6"/>
      <c r="L246" s="6"/>
      <c r="M246" s="6"/>
      <c r="N246" s="6"/>
      <c r="O246" s="6"/>
      <c r="P246" s="6"/>
      <c r="Q246" s="6"/>
    </row>
    <row r="247" ht="19.5" customHeight="1">
      <c r="A247" s="12">
        <v>50557.0</v>
      </c>
      <c r="B247" s="18"/>
      <c r="C247" s="19"/>
      <c r="D247" s="19"/>
      <c r="E247" s="19"/>
      <c r="F247" s="15">
        <f t="shared" si="1"/>
        <v>246</v>
      </c>
      <c r="G247" s="11"/>
      <c r="H247" s="11"/>
      <c r="I247" s="6"/>
      <c r="J247" s="6"/>
      <c r="K247" s="6"/>
      <c r="L247" s="6"/>
      <c r="M247" s="6"/>
      <c r="N247" s="6"/>
      <c r="O247" s="6"/>
      <c r="P247" s="6"/>
      <c r="Q247" s="6"/>
    </row>
    <row r="248" ht="19.5" customHeight="1">
      <c r="A248" s="12">
        <v>50587.0</v>
      </c>
      <c r="B248" s="16"/>
      <c r="C248" s="17"/>
      <c r="D248" s="17"/>
      <c r="E248" s="17"/>
      <c r="F248" s="15">
        <f t="shared" si="1"/>
        <v>247</v>
      </c>
      <c r="G248" s="11"/>
      <c r="H248" s="11"/>
      <c r="I248" s="6"/>
      <c r="J248" s="6"/>
      <c r="K248" s="6"/>
      <c r="L248" s="6"/>
      <c r="M248" s="6"/>
      <c r="N248" s="6"/>
      <c r="O248" s="6"/>
      <c r="P248" s="6"/>
      <c r="Q248" s="6"/>
    </row>
    <row r="249" ht="19.5" customHeight="1">
      <c r="A249" s="12">
        <v>50618.0</v>
      </c>
      <c r="B249" s="18"/>
      <c r="C249" s="19"/>
      <c r="D249" s="19"/>
      <c r="E249" s="19"/>
      <c r="F249" s="15">
        <f t="shared" si="1"/>
        <v>248</v>
      </c>
      <c r="G249" s="11"/>
      <c r="H249" s="11"/>
      <c r="I249" s="6"/>
      <c r="J249" s="6"/>
      <c r="K249" s="6"/>
      <c r="L249" s="6"/>
      <c r="M249" s="6"/>
      <c r="N249" s="6"/>
      <c r="O249" s="6"/>
      <c r="P249" s="6"/>
      <c r="Q249" s="6"/>
    </row>
    <row r="250" ht="19.5" customHeight="1">
      <c r="A250" s="12">
        <v>50649.0</v>
      </c>
      <c r="B250" s="16"/>
      <c r="C250" s="17"/>
      <c r="D250" s="17"/>
      <c r="E250" s="17"/>
      <c r="F250" s="15">
        <f t="shared" si="1"/>
        <v>249</v>
      </c>
      <c r="G250" s="11"/>
      <c r="H250" s="11"/>
      <c r="I250" s="6"/>
      <c r="J250" s="6"/>
      <c r="K250" s="6"/>
      <c r="L250" s="6"/>
      <c r="M250" s="6"/>
      <c r="N250" s="6"/>
      <c r="O250" s="6"/>
      <c r="P250" s="6"/>
      <c r="Q250" s="6"/>
    </row>
    <row r="251" ht="19.5" customHeight="1">
      <c r="A251" s="12">
        <v>50679.0</v>
      </c>
      <c r="B251" s="18"/>
      <c r="C251" s="19"/>
      <c r="D251" s="19"/>
      <c r="E251" s="19"/>
      <c r="F251" s="15">
        <f t="shared" si="1"/>
        <v>250</v>
      </c>
      <c r="G251" s="11"/>
      <c r="H251" s="11"/>
      <c r="I251" s="6"/>
      <c r="J251" s="6"/>
      <c r="K251" s="6"/>
      <c r="L251" s="6"/>
      <c r="M251" s="6"/>
      <c r="N251" s="6"/>
      <c r="O251" s="6"/>
      <c r="P251" s="6"/>
      <c r="Q251" s="6"/>
    </row>
    <row r="252" ht="19.5" customHeight="1">
      <c r="A252" s="12">
        <v>50710.0</v>
      </c>
      <c r="B252" s="16"/>
      <c r="C252" s="17"/>
      <c r="D252" s="17"/>
      <c r="E252" s="17"/>
      <c r="F252" s="15">
        <f t="shared" si="1"/>
        <v>251</v>
      </c>
      <c r="G252" s="11"/>
      <c r="H252" s="11"/>
      <c r="I252" s="6"/>
      <c r="J252" s="6"/>
      <c r="K252" s="6"/>
      <c r="L252" s="6"/>
      <c r="M252" s="6"/>
      <c r="N252" s="6"/>
      <c r="O252" s="6"/>
      <c r="P252" s="6"/>
      <c r="Q252" s="6"/>
    </row>
    <row r="253" ht="19.5" customHeight="1">
      <c r="A253" s="12">
        <v>50740.0</v>
      </c>
      <c r="B253" s="18"/>
      <c r="C253" s="19"/>
      <c r="D253" s="19"/>
      <c r="E253" s="19"/>
      <c r="F253" s="15">
        <f t="shared" si="1"/>
        <v>252</v>
      </c>
      <c r="G253" s="11"/>
      <c r="H253" s="11"/>
      <c r="I253" s="6"/>
      <c r="J253" s="6"/>
      <c r="K253" s="6"/>
      <c r="L253" s="6"/>
      <c r="M253" s="6"/>
      <c r="N253" s="6"/>
      <c r="O253" s="6"/>
      <c r="P253" s="6"/>
      <c r="Q253" s="6"/>
    </row>
    <row r="254" ht="19.5" customHeight="1">
      <c r="A254" s="12">
        <v>50771.0</v>
      </c>
      <c r="B254" s="16"/>
      <c r="C254" s="17"/>
      <c r="D254" s="17"/>
      <c r="E254" s="17"/>
      <c r="F254" s="15">
        <f t="shared" si="1"/>
        <v>253</v>
      </c>
      <c r="G254" s="11"/>
      <c r="H254" s="11"/>
      <c r="I254" s="6"/>
      <c r="J254" s="6"/>
      <c r="K254" s="6"/>
      <c r="L254" s="6"/>
      <c r="M254" s="6"/>
      <c r="N254" s="6"/>
      <c r="O254" s="6"/>
      <c r="P254" s="6"/>
      <c r="Q254" s="6"/>
    </row>
    <row r="255" ht="19.5" customHeight="1">
      <c r="A255" s="12">
        <v>50802.0</v>
      </c>
      <c r="B255" s="18"/>
      <c r="C255" s="19"/>
      <c r="D255" s="19"/>
      <c r="E255" s="19"/>
      <c r="F255" s="15">
        <f t="shared" si="1"/>
        <v>254</v>
      </c>
      <c r="G255" s="11"/>
      <c r="H255" s="11"/>
      <c r="I255" s="6"/>
      <c r="J255" s="6"/>
      <c r="K255" s="6"/>
      <c r="L255" s="6"/>
      <c r="M255" s="6"/>
      <c r="N255" s="6"/>
      <c r="O255" s="6"/>
      <c r="P255" s="6"/>
      <c r="Q255" s="6"/>
    </row>
    <row r="256" ht="19.5" customHeight="1">
      <c r="A256" s="12">
        <v>50830.0</v>
      </c>
      <c r="B256" s="16"/>
      <c r="C256" s="17"/>
      <c r="D256" s="17"/>
      <c r="E256" s="17"/>
      <c r="F256" s="15">
        <f t="shared" si="1"/>
        <v>255</v>
      </c>
      <c r="G256" s="11"/>
      <c r="H256" s="11"/>
      <c r="I256" s="6"/>
      <c r="J256" s="6"/>
      <c r="K256" s="6"/>
      <c r="L256" s="6"/>
      <c r="M256" s="6"/>
      <c r="N256" s="6"/>
      <c r="O256" s="6"/>
      <c r="P256" s="6"/>
      <c r="Q256" s="6"/>
    </row>
    <row r="257" ht="19.5" customHeight="1">
      <c r="A257" s="12">
        <v>50861.0</v>
      </c>
      <c r="B257" s="18"/>
      <c r="C257" s="19"/>
      <c r="D257" s="19"/>
      <c r="E257" s="19"/>
      <c r="F257" s="15">
        <f t="shared" si="1"/>
        <v>256</v>
      </c>
      <c r="G257" s="11"/>
      <c r="H257" s="11"/>
      <c r="I257" s="6"/>
      <c r="J257" s="6"/>
      <c r="K257" s="6"/>
      <c r="L257" s="6"/>
      <c r="M257" s="6"/>
      <c r="N257" s="6"/>
      <c r="O257" s="6"/>
      <c r="P257" s="6"/>
      <c r="Q257" s="6"/>
    </row>
    <row r="258" ht="19.5" customHeight="1">
      <c r="A258" s="12">
        <v>50891.0</v>
      </c>
      <c r="B258" s="16"/>
      <c r="C258" s="17"/>
      <c r="D258" s="17"/>
      <c r="E258" s="17"/>
      <c r="F258" s="15">
        <f t="shared" si="1"/>
        <v>257</v>
      </c>
      <c r="G258" s="11"/>
      <c r="H258" s="11"/>
      <c r="I258" s="6"/>
      <c r="J258" s="6"/>
      <c r="K258" s="6"/>
      <c r="L258" s="6"/>
      <c r="M258" s="6"/>
      <c r="N258" s="6"/>
      <c r="O258" s="6"/>
      <c r="P258" s="6"/>
      <c r="Q258" s="6"/>
    </row>
    <row r="259" ht="19.5" customHeight="1">
      <c r="A259" s="12">
        <v>50922.0</v>
      </c>
      <c r="B259" s="18"/>
      <c r="C259" s="19"/>
      <c r="D259" s="19"/>
      <c r="E259" s="19"/>
      <c r="F259" s="15">
        <f t="shared" si="1"/>
        <v>258</v>
      </c>
      <c r="G259" s="11"/>
      <c r="H259" s="11"/>
      <c r="I259" s="6"/>
      <c r="J259" s="6"/>
      <c r="K259" s="6"/>
      <c r="L259" s="6"/>
      <c r="M259" s="6"/>
      <c r="N259" s="6"/>
      <c r="O259" s="6"/>
      <c r="P259" s="6"/>
      <c r="Q259" s="6"/>
    </row>
    <row r="260" ht="19.5" customHeight="1">
      <c r="A260" s="12">
        <v>50952.0</v>
      </c>
      <c r="B260" s="16"/>
      <c r="C260" s="17"/>
      <c r="D260" s="17"/>
      <c r="E260" s="17"/>
      <c r="F260" s="15">
        <f t="shared" si="1"/>
        <v>259</v>
      </c>
      <c r="G260" s="11"/>
      <c r="H260" s="11"/>
      <c r="I260" s="6"/>
      <c r="J260" s="6"/>
      <c r="K260" s="6"/>
      <c r="L260" s="6"/>
      <c r="M260" s="6"/>
      <c r="N260" s="6"/>
      <c r="O260" s="6"/>
      <c r="P260" s="6"/>
      <c r="Q260" s="6"/>
    </row>
    <row r="261" ht="19.5" customHeight="1">
      <c r="A261" s="12">
        <v>50983.0</v>
      </c>
      <c r="B261" s="18"/>
      <c r="C261" s="19"/>
      <c r="D261" s="19"/>
      <c r="E261" s="19"/>
      <c r="F261" s="15">
        <f t="shared" si="1"/>
        <v>260</v>
      </c>
      <c r="G261" s="11"/>
      <c r="H261" s="11"/>
      <c r="I261" s="6"/>
      <c r="J261" s="6"/>
      <c r="K261" s="6"/>
      <c r="L261" s="6"/>
      <c r="M261" s="6"/>
      <c r="N261" s="6"/>
      <c r="O261" s="6"/>
      <c r="P261" s="6"/>
      <c r="Q261" s="6"/>
    </row>
    <row r="262" ht="19.5" customHeight="1">
      <c r="A262" s="12">
        <v>51014.0</v>
      </c>
      <c r="B262" s="16"/>
      <c r="C262" s="17"/>
      <c r="D262" s="17"/>
      <c r="E262" s="17"/>
      <c r="F262" s="15">
        <f t="shared" si="1"/>
        <v>261</v>
      </c>
      <c r="G262" s="11"/>
      <c r="H262" s="11"/>
      <c r="I262" s="6"/>
      <c r="J262" s="6"/>
      <c r="K262" s="6"/>
      <c r="L262" s="6"/>
      <c r="M262" s="6"/>
      <c r="N262" s="6"/>
      <c r="O262" s="6"/>
      <c r="P262" s="6"/>
      <c r="Q262" s="6"/>
    </row>
    <row r="263" ht="19.5" customHeight="1">
      <c r="A263" s="12">
        <v>51044.0</v>
      </c>
      <c r="B263" s="18"/>
      <c r="C263" s="19"/>
      <c r="D263" s="19"/>
      <c r="E263" s="19"/>
      <c r="F263" s="15">
        <f t="shared" si="1"/>
        <v>262</v>
      </c>
      <c r="G263" s="11"/>
      <c r="H263" s="11"/>
      <c r="I263" s="6"/>
      <c r="J263" s="6"/>
      <c r="K263" s="6"/>
      <c r="L263" s="6"/>
      <c r="M263" s="6"/>
      <c r="N263" s="6"/>
      <c r="O263" s="6"/>
      <c r="P263" s="6"/>
      <c r="Q263" s="6"/>
    </row>
    <row r="264" ht="19.5" customHeight="1">
      <c r="A264" s="12">
        <v>51075.0</v>
      </c>
      <c r="B264" s="16"/>
      <c r="C264" s="17"/>
      <c r="D264" s="17"/>
      <c r="E264" s="17"/>
      <c r="F264" s="15">
        <f t="shared" si="1"/>
        <v>263</v>
      </c>
      <c r="G264" s="11"/>
      <c r="H264" s="11"/>
      <c r="I264" s="6"/>
      <c r="J264" s="6"/>
      <c r="K264" s="6"/>
      <c r="L264" s="6"/>
      <c r="M264" s="6"/>
      <c r="N264" s="6"/>
      <c r="O264" s="6"/>
      <c r="P264" s="6"/>
      <c r="Q264" s="6"/>
    </row>
    <row r="265" ht="19.5" customHeight="1">
      <c r="A265" s="12">
        <v>51105.0</v>
      </c>
      <c r="B265" s="18"/>
      <c r="C265" s="19"/>
      <c r="D265" s="19"/>
      <c r="E265" s="19"/>
      <c r="F265" s="15">
        <f t="shared" si="1"/>
        <v>264</v>
      </c>
      <c r="G265" s="11"/>
      <c r="H265" s="11"/>
      <c r="I265" s="6"/>
      <c r="J265" s="6"/>
      <c r="K265" s="6"/>
      <c r="L265" s="6"/>
      <c r="M265" s="6"/>
      <c r="N265" s="6"/>
      <c r="O265" s="6"/>
      <c r="P265" s="6"/>
      <c r="Q265" s="6"/>
    </row>
    <row r="266" ht="19.5" customHeight="1">
      <c r="A266" s="12">
        <v>51136.0</v>
      </c>
      <c r="B266" s="16"/>
      <c r="C266" s="17"/>
      <c r="D266" s="17"/>
      <c r="E266" s="17"/>
      <c r="F266" s="15">
        <f t="shared" si="1"/>
        <v>265</v>
      </c>
      <c r="G266" s="11"/>
      <c r="H266" s="11"/>
      <c r="I266" s="6"/>
      <c r="J266" s="6"/>
      <c r="K266" s="6"/>
      <c r="L266" s="6"/>
      <c r="M266" s="6"/>
      <c r="N266" s="6"/>
      <c r="O266" s="6"/>
      <c r="P266" s="6"/>
      <c r="Q266" s="6"/>
    </row>
    <row r="267" ht="19.5" customHeight="1">
      <c r="A267" s="12">
        <v>51167.0</v>
      </c>
      <c r="B267" s="18"/>
      <c r="C267" s="19"/>
      <c r="D267" s="19"/>
      <c r="E267" s="19"/>
      <c r="F267" s="15">
        <f t="shared" si="1"/>
        <v>266</v>
      </c>
      <c r="G267" s="11"/>
      <c r="H267" s="11"/>
      <c r="I267" s="6"/>
      <c r="J267" s="6"/>
      <c r="K267" s="6"/>
      <c r="L267" s="6"/>
      <c r="M267" s="6"/>
      <c r="N267" s="6"/>
      <c r="O267" s="6"/>
      <c r="P267" s="6"/>
      <c r="Q267" s="6"/>
    </row>
    <row r="268" ht="19.5" customHeight="1">
      <c r="A268" s="12">
        <v>51196.0</v>
      </c>
      <c r="B268" s="16"/>
      <c r="C268" s="17"/>
      <c r="D268" s="17"/>
      <c r="E268" s="17"/>
      <c r="F268" s="15">
        <f t="shared" si="1"/>
        <v>267</v>
      </c>
      <c r="G268" s="11"/>
      <c r="H268" s="11"/>
      <c r="I268" s="6"/>
      <c r="J268" s="6"/>
      <c r="K268" s="6"/>
      <c r="L268" s="6"/>
      <c r="M268" s="6"/>
      <c r="N268" s="6"/>
      <c r="O268" s="6"/>
      <c r="P268" s="6"/>
      <c r="Q268" s="6"/>
    </row>
    <row r="269" ht="19.5" customHeight="1">
      <c r="A269" s="12">
        <v>51227.0</v>
      </c>
      <c r="B269" s="18"/>
      <c r="C269" s="19"/>
      <c r="D269" s="19"/>
      <c r="E269" s="19"/>
      <c r="F269" s="15">
        <f t="shared" si="1"/>
        <v>268</v>
      </c>
      <c r="G269" s="11"/>
      <c r="H269" s="11"/>
      <c r="I269" s="6"/>
      <c r="J269" s="6"/>
      <c r="K269" s="6"/>
      <c r="L269" s="6"/>
      <c r="M269" s="6"/>
      <c r="N269" s="6"/>
      <c r="O269" s="6"/>
      <c r="P269" s="6"/>
      <c r="Q269" s="6"/>
    </row>
    <row r="270" ht="19.5" customHeight="1">
      <c r="A270" s="12">
        <v>51257.0</v>
      </c>
      <c r="B270" s="16"/>
      <c r="C270" s="17"/>
      <c r="D270" s="17"/>
      <c r="E270" s="17"/>
      <c r="F270" s="15">
        <f t="shared" si="1"/>
        <v>269</v>
      </c>
      <c r="G270" s="11"/>
      <c r="H270" s="11"/>
      <c r="I270" s="6"/>
      <c r="J270" s="6"/>
      <c r="K270" s="6"/>
      <c r="L270" s="6"/>
      <c r="M270" s="6"/>
      <c r="N270" s="6"/>
      <c r="O270" s="6"/>
      <c r="P270" s="6"/>
      <c r="Q270" s="6"/>
    </row>
    <row r="271" ht="19.5" customHeight="1">
      <c r="A271" s="12">
        <v>51288.0</v>
      </c>
      <c r="B271" s="18"/>
      <c r="C271" s="19"/>
      <c r="D271" s="19"/>
      <c r="E271" s="19"/>
      <c r="F271" s="15">
        <f t="shared" si="1"/>
        <v>270</v>
      </c>
      <c r="G271" s="11"/>
      <c r="H271" s="11"/>
      <c r="I271" s="6"/>
      <c r="J271" s="6"/>
      <c r="K271" s="6"/>
      <c r="L271" s="6"/>
      <c r="M271" s="6"/>
      <c r="N271" s="6"/>
      <c r="O271" s="6"/>
      <c r="P271" s="6"/>
      <c r="Q271" s="6"/>
    </row>
    <row r="272" ht="19.5" customHeight="1">
      <c r="A272" s="12">
        <v>51318.0</v>
      </c>
      <c r="B272" s="16"/>
      <c r="C272" s="17"/>
      <c r="D272" s="17"/>
      <c r="E272" s="17"/>
      <c r="F272" s="15">
        <f t="shared" si="1"/>
        <v>271</v>
      </c>
      <c r="G272" s="11"/>
      <c r="H272" s="11"/>
      <c r="I272" s="6"/>
      <c r="J272" s="6"/>
      <c r="K272" s="6"/>
      <c r="L272" s="6"/>
      <c r="M272" s="6"/>
      <c r="N272" s="6"/>
      <c r="O272" s="6"/>
      <c r="P272" s="6"/>
      <c r="Q272" s="6"/>
    </row>
    <row r="273" ht="19.5" customHeight="1">
      <c r="A273" s="12">
        <v>51349.0</v>
      </c>
      <c r="B273" s="18"/>
      <c r="C273" s="19"/>
      <c r="D273" s="19"/>
      <c r="E273" s="19"/>
      <c r="F273" s="15">
        <f t="shared" si="1"/>
        <v>272</v>
      </c>
      <c r="G273" s="11"/>
      <c r="H273" s="11"/>
      <c r="I273" s="6"/>
      <c r="J273" s="6"/>
      <c r="K273" s="6"/>
      <c r="L273" s="6"/>
      <c r="M273" s="6"/>
      <c r="N273" s="6"/>
      <c r="O273" s="6"/>
      <c r="P273" s="6"/>
      <c r="Q273" s="6"/>
    </row>
    <row r="274" ht="19.5" customHeight="1">
      <c r="A274" s="12">
        <v>51380.0</v>
      </c>
      <c r="B274" s="16"/>
      <c r="C274" s="17"/>
      <c r="D274" s="17"/>
      <c r="E274" s="17"/>
      <c r="F274" s="15">
        <f t="shared" si="1"/>
        <v>273</v>
      </c>
      <c r="G274" s="11"/>
      <c r="H274" s="11"/>
      <c r="I274" s="6"/>
      <c r="J274" s="6"/>
      <c r="K274" s="6"/>
      <c r="L274" s="6"/>
      <c r="M274" s="6"/>
      <c r="N274" s="6"/>
      <c r="O274" s="6"/>
      <c r="P274" s="6"/>
      <c r="Q274" s="6"/>
    </row>
    <row r="275" ht="19.5" customHeight="1">
      <c r="A275" s="12">
        <v>51410.0</v>
      </c>
      <c r="B275" s="18"/>
      <c r="C275" s="19"/>
      <c r="D275" s="19"/>
      <c r="E275" s="19"/>
      <c r="F275" s="15">
        <f t="shared" si="1"/>
        <v>274</v>
      </c>
      <c r="G275" s="11"/>
      <c r="H275" s="11"/>
      <c r="I275" s="6"/>
      <c r="J275" s="6"/>
      <c r="K275" s="6"/>
      <c r="L275" s="6"/>
      <c r="M275" s="6"/>
      <c r="N275" s="6"/>
      <c r="O275" s="6"/>
      <c r="P275" s="6"/>
      <c r="Q275" s="6"/>
    </row>
    <row r="276" ht="19.5" customHeight="1">
      <c r="A276" s="12">
        <v>51441.0</v>
      </c>
      <c r="B276" s="16"/>
      <c r="C276" s="17"/>
      <c r="D276" s="17"/>
      <c r="E276" s="17"/>
      <c r="F276" s="15">
        <f t="shared" si="1"/>
        <v>275</v>
      </c>
      <c r="G276" s="11"/>
      <c r="H276" s="11"/>
      <c r="I276" s="6"/>
      <c r="J276" s="6"/>
      <c r="K276" s="6"/>
      <c r="L276" s="6"/>
      <c r="M276" s="6"/>
      <c r="N276" s="6"/>
      <c r="O276" s="6"/>
      <c r="P276" s="6"/>
      <c r="Q276" s="6"/>
    </row>
    <row r="277" ht="19.5" customHeight="1">
      <c r="A277" s="12">
        <v>51471.0</v>
      </c>
      <c r="B277" s="18"/>
      <c r="C277" s="19"/>
      <c r="D277" s="19"/>
      <c r="E277" s="19"/>
      <c r="F277" s="15">
        <f t="shared" si="1"/>
        <v>276</v>
      </c>
      <c r="G277" s="11"/>
      <c r="H277" s="11"/>
      <c r="I277" s="6"/>
      <c r="J277" s="6"/>
      <c r="K277" s="6"/>
      <c r="L277" s="6"/>
      <c r="M277" s="6"/>
      <c r="N277" s="6"/>
      <c r="O277" s="6"/>
      <c r="P277" s="6"/>
      <c r="Q277" s="6"/>
    </row>
    <row r="278" ht="19.5" customHeight="1">
      <c r="A278" s="12">
        <v>51502.0</v>
      </c>
      <c r="B278" s="16"/>
      <c r="C278" s="17"/>
      <c r="D278" s="17"/>
      <c r="E278" s="17"/>
      <c r="F278" s="15">
        <f t="shared" si="1"/>
        <v>277</v>
      </c>
      <c r="G278" s="11"/>
      <c r="H278" s="11"/>
      <c r="I278" s="6"/>
      <c r="J278" s="6"/>
      <c r="K278" s="6"/>
      <c r="L278" s="6"/>
      <c r="M278" s="6"/>
      <c r="N278" s="6"/>
      <c r="O278" s="6"/>
      <c r="P278" s="6"/>
      <c r="Q278" s="6"/>
    </row>
    <row r="279" ht="19.5" customHeight="1">
      <c r="A279" s="12">
        <v>51533.0</v>
      </c>
      <c r="B279" s="18"/>
      <c r="C279" s="19"/>
      <c r="D279" s="19"/>
      <c r="E279" s="19"/>
      <c r="F279" s="15">
        <f t="shared" si="1"/>
        <v>278</v>
      </c>
      <c r="G279" s="11"/>
      <c r="H279" s="11"/>
      <c r="I279" s="6"/>
      <c r="J279" s="6"/>
      <c r="K279" s="6"/>
      <c r="L279" s="6"/>
      <c r="M279" s="6"/>
      <c r="N279" s="6"/>
      <c r="O279" s="6"/>
      <c r="P279" s="6"/>
      <c r="Q279" s="6"/>
    </row>
    <row r="280" ht="19.5" customHeight="1">
      <c r="A280" s="12">
        <v>51561.0</v>
      </c>
      <c r="B280" s="16"/>
      <c r="C280" s="17"/>
      <c r="D280" s="17"/>
      <c r="E280" s="17"/>
      <c r="F280" s="15">
        <f t="shared" si="1"/>
        <v>279</v>
      </c>
      <c r="G280" s="11"/>
      <c r="H280" s="11"/>
      <c r="I280" s="6"/>
      <c r="J280" s="6"/>
      <c r="K280" s="6"/>
      <c r="L280" s="6"/>
      <c r="M280" s="6"/>
      <c r="N280" s="6"/>
      <c r="O280" s="6"/>
      <c r="P280" s="6"/>
      <c r="Q280" s="6"/>
    </row>
    <row r="281" ht="19.5" customHeight="1">
      <c r="A281" s="12">
        <v>51592.0</v>
      </c>
      <c r="B281" s="18"/>
      <c r="C281" s="19"/>
      <c r="D281" s="19"/>
      <c r="E281" s="19"/>
      <c r="F281" s="15">
        <f t="shared" si="1"/>
        <v>280</v>
      </c>
      <c r="G281" s="11"/>
      <c r="H281" s="11"/>
      <c r="I281" s="6"/>
      <c r="J281" s="6"/>
      <c r="K281" s="6"/>
      <c r="L281" s="6"/>
      <c r="M281" s="6"/>
      <c r="N281" s="6"/>
      <c r="O281" s="6"/>
      <c r="P281" s="6"/>
      <c r="Q281" s="6"/>
    </row>
    <row r="282" ht="19.5" customHeight="1">
      <c r="A282" s="12">
        <v>51622.0</v>
      </c>
      <c r="B282" s="16"/>
      <c r="C282" s="17"/>
      <c r="D282" s="17"/>
      <c r="E282" s="17"/>
      <c r="F282" s="15">
        <f t="shared" si="1"/>
        <v>281</v>
      </c>
      <c r="G282" s="11"/>
      <c r="H282" s="11"/>
      <c r="I282" s="6"/>
      <c r="J282" s="6"/>
      <c r="K282" s="6"/>
      <c r="L282" s="6"/>
      <c r="M282" s="6"/>
      <c r="N282" s="6"/>
      <c r="O282" s="6"/>
      <c r="P282" s="6"/>
      <c r="Q282" s="6"/>
    </row>
    <row r="283" ht="19.5" customHeight="1">
      <c r="A283" s="12">
        <v>51653.0</v>
      </c>
      <c r="B283" s="18"/>
      <c r="C283" s="19"/>
      <c r="D283" s="19"/>
      <c r="E283" s="19"/>
      <c r="F283" s="15">
        <f t="shared" si="1"/>
        <v>282</v>
      </c>
      <c r="G283" s="11"/>
      <c r="H283" s="11"/>
      <c r="I283" s="6"/>
      <c r="J283" s="6"/>
      <c r="K283" s="6"/>
      <c r="L283" s="6"/>
      <c r="M283" s="6"/>
      <c r="N283" s="6"/>
      <c r="O283" s="6"/>
      <c r="P283" s="6"/>
      <c r="Q283" s="6"/>
    </row>
    <row r="284" ht="19.5" customHeight="1">
      <c r="A284" s="12">
        <v>51683.0</v>
      </c>
      <c r="B284" s="16"/>
      <c r="C284" s="17"/>
      <c r="D284" s="17"/>
      <c r="E284" s="17"/>
      <c r="F284" s="15">
        <f t="shared" si="1"/>
        <v>283</v>
      </c>
      <c r="G284" s="11"/>
      <c r="H284" s="11"/>
      <c r="I284" s="6"/>
      <c r="J284" s="6"/>
      <c r="K284" s="6"/>
      <c r="L284" s="6"/>
      <c r="M284" s="6"/>
      <c r="N284" s="6"/>
      <c r="O284" s="6"/>
      <c r="P284" s="6"/>
      <c r="Q284" s="6"/>
    </row>
    <row r="285" ht="19.5" customHeight="1">
      <c r="A285" s="12">
        <v>51714.0</v>
      </c>
      <c r="B285" s="18"/>
      <c r="C285" s="19"/>
      <c r="D285" s="19"/>
      <c r="E285" s="19"/>
      <c r="F285" s="15">
        <f t="shared" si="1"/>
        <v>284</v>
      </c>
      <c r="G285" s="11"/>
      <c r="H285" s="11"/>
      <c r="I285" s="6"/>
      <c r="J285" s="6"/>
      <c r="K285" s="6"/>
      <c r="L285" s="6"/>
      <c r="M285" s="6"/>
      <c r="N285" s="6"/>
      <c r="O285" s="6"/>
      <c r="P285" s="6"/>
      <c r="Q285" s="6"/>
    </row>
    <row r="286" ht="19.5" customHeight="1">
      <c r="A286" s="12">
        <v>51745.0</v>
      </c>
      <c r="B286" s="16"/>
      <c r="C286" s="17"/>
      <c r="D286" s="17"/>
      <c r="E286" s="17"/>
      <c r="F286" s="15">
        <f t="shared" si="1"/>
        <v>285</v>
      </c>
      <c r="G286" s="11"/>
      <c r="H286" s="11"/>
      <c r="I286" s="6"/>
      <c r="J286" s="6"/>
      <c r="K286" s="6"/>
      <c r="L286" s="6"/>
      <c r="M286" s="6"/>
      <c r="N286" s="6"/>
      <c r="O286" s="6"/>
      <c r="P286" s="6"/>
      <c r="Q286" s="6"/>
    </row>
    <row r="287" ht="19.5" customHeight="1">
      <c r="A287" s="12">
        <v>51775.0</v>
      </c>
      <c r="B287" s="18"/>
      <c r="C287" s="19"/>
      <c r="D287" s="19"/>
      <c r="E287" s="19"/>
      <c r="F287" s="15">
        <f t="shared" si="1"/>
        <v>286</v>
      </c>
      <c r="G287" s="11"/>
      <c r="H287" s="11"/>
      <c r="I287" s="6"/>
      <c r="J287" s="6"/>
      <c r="K287" s="6"/>
      <c r="L287" s="6"/>
      <c r="M287" s="6"/>
      <c r="N287" s="6"/>
      <c r="O287" s="6"/>
      <c r="P287" s="6"/>
      <c r="Q287" s="6"/>
    </row>
    <row r="288" ht="19.5" customHeight="1">
      <c r="A288" s="12">
        <v>51806.0</v>
      </c>
      <c r="B288" s="16"/>
      <c r="C288" s="17"/>
      <c r="D288" s="17"/>
      <c r="E288" s="17"/>
      <c r="F288" s="15">
        <f t="shared" si="1"/>
        <v>287</v>
      </c>
      <c r="G288" s="11"/>
      <c r="H288" s="11"/>
      <c r="I288" s="6"/>
      <c r="J288" s="6"/>
      <c r="K288" s="6"/>
      <c r="L288" s="6"/>
      <c r="M288" s="6"/>
      <c r="N288" s="6"/>
      <c r="O288" s="6"/>
      <c r="P288" s="6"/>
      <c r="Q288" s="6"/>
    </row>
    <row r="289" ht="19.5" customHeight="1">
      <c r="A289" s="12">
        <v>51836.0</v>
      </c>
      <c r="B289" s="18"/>
      <c r="C289" s="19"/>
      <c r="D289" s="19"/>
      <c r="E289" s="19"/>
      <c r="F289" s="15">
        <f t="shared" si="1"/>
        <v>288</v>
      </c>
      <c r="G289" s="11"/>
      <c r="H289" s="11"/>
      <c r="I289" s="6"/>
      <c r="J289" s="6"/>
      <c r="K289" s="6"/>
      <c r="L289" s="6"/>
      <c r="M289" s="6"/>
      <c r="N289" s="6"/>
      <c r="O289" s="6"/>
      <c r="P289" s="6"/>
      <c r="Q289" s="6"/>
    </row>
    <row r="290" ht="19.5" customHeight="1">
      <c r="A290" s="12">
        <v>51867.0</v>
      </c>
      <c r="B290" s="16"/>
      <c r="C290" s="17"/>
      <c r="D290" s="17"/>
      <c r="E290" s="17"/>
      <c r="F290" s="15">
        <f t="shared" si="1"/>
        <v>289</v>
      </c>
      <c r="G290" s="11"/>
      <c r="H290" s="11"/>
      <c r="I290" s="6"/>
      <c r="J290" s="6"/>
      <c r="K290" s="6"/>
      <c r="L290" s="6"/>
      <c r="M290" s="6"/>
      <c r="N290" s="6"/>
      <c r="O290" s="6"/>
      <c r="P290" s="6"/>
      <c r="Q290" s="6"/>
    </row>
    <row r="291" ht="19.5" customHeight="1">
      <c r="A291" s="12">
        <v>51898.0</v>
      </c>
      <c r="B291" s="18"/>
      <c r="C291" s="19"/>
      <c r="D291" s="19"/>
      <c r="E291" s="19"/>
      <c r="F291" s="15">
        <f t="shared" si="1"/>
        <v>290</v>
      </c>
      <c r="G291" s="11"/>
      <c r="H291" s="11"/>
      <c r="I291" s="6"/>
      <c r="J291" s="6"/>
      <c r="K291" s="6"/>
      <c r="L291" s="6"/>
      <c r="M291" s="6"/>
      <c r="N291" s="6"/>
      <c r="O291" s="6"/>
      <c r="P291" s="6"/>
      <c r="Q291" s="6"/>
    </row>
    <row r="292" ht="19.5" customHeight="1">
      <c r="A292" s="12">
        <v>51926.0</v>
      </c>
      <c r="B292" s="16"/>
      <c r="C292" s="17"/>
      <c r="D292" s="17"/>
      <c r="E292" s="17"/>
      <c r="F292" s="15">
        <f t="shared" si="1"/>
        <v>291</v>
      </c>
      <c r="G292" s="11"/>
      <c r="H292" s="11"/>
      <c r="I292" s="6"/>
      <c r="J292" s="6"/>
      <c r="K292" s="6"/>
      <c r="L292" s="6"/>
      <c r="M292" s="6"/>
      <c r="N292" s="6"/>
      <c r="O292" s="6"/>
      <c r="P292" s="6"/>
      <c r="Q292" s="6"/>
    </row>
    <row r="293" ht="19.5" customHeight="1">
      <c r="A293" s="12">
        <v>51957.0</v>
      </c>
      <c r="B293" s="18"/>
      <c r="C293" s="19"/>
      <c r="D293" s="19"/>
      <c r="E293" s="19"/>
      <c r="F293" s="15">
        <f t="shared" si="1"/>
        <v>292</v>
      </c>
      <c r="G293" s="11"/>
      <c r="H293" s="11"/>
      <c r="I293" s="6"/>
      <c r="J293" s="6"/>
      <c r="K293" s="6"/>
      <c r="L293" s="6"/>
      <c r="M293" s="6"/>
      <c r="N293" s="6"/>
      <c r="O293" s="6"/>
      <c r="P293" s="6"/>
      <c r="Q293" s="6"/>
    </row>
    <row r="294" ht="19.5" customHeight="1">
      <c r="A294" s="12">
        <v>51987.0</v>
      </c>
      <c r="B294" s="16"/>
      <c r="C294" s="17"/>
      <c r="D294" s="17"/>
      <c r="E294" s="17"/>
      <c r="F294" s="15">
        <f t="shared" si="1"/>
        <v>293</v>
      </c>
      <c r="G294" s="11"/>
      <c r="H294" s="11"/>
      <c r="I294" s="6"/>
      <c r="J294" s="6"/>
      <c r="K294" s="6"/>
      <c r="L294" s="6"/>
      <c r="M294" s="6"/>
      <c r="N294" s="6"/>
      <c r="O294" s="6"/>
      <c r="P294" s="6"/>
      <c r="Q294" s="6"/>
    </row>
    <row r="295" ht="19.5" customHeight="1">
      <c r="A295" s="12">
        <v>52018.0</v>
      </c>
      <c r="B295" s="18"/>
      <c r="C295" s="19"/>
      <c r="D295" s="19"/>
      <c r="E295" s="19"/>
      <c r="F295" s="15">
        <f t="shared" si="1"/>
        <v>294</v>
      </c>
      <c r="G295" s="11"/>
      <c r="H295" s="11"/>
      <c r="I295" s="6"/>
      <c r="J295" s="6"/>
      <c r="K295" s="6"/>
      <c r="L295" s="6"/>
      <c r="M295" s="6"/>
      <c r="N295" s="6"/>
      <c r="O295" s="6"/>
      <c r="P295" s="6"/>
      <c r="Q295" s="6"/>
    </row>
    <row r="296" ht="19.5" customHeight="1">
      <c r="A296" s="12">
        <v>52048.0</v>
      </c>
      <c r="B296" s="16"/>
      <c r="C296" s="17"/>
      <c r="D296" s="17"/>
      <c r="E296" s="17"/>
      <c r="F296" s="15">
        <f t="shared" si="1"/>
        <v>295</v>
      </c>
      <c r="G296" s="11"/>
      <c r="H296" s="11"/>
      <c r="I296" s="6"/>
      <c r="J296" s="6"/>
      <c r="K296" s="6"/>
      <c r="L296" s="6"/>
      <c r="M296" s="6"/>
      <c r="N296" s="6"/>
      <c r="O296" s="6"/>
      <c r="P296" s="6"/>
      <c r="Q296" s="6"/>
    </row>
    <row r="297" ht="19.5" customHeight="1">
      <c r="A297" s="12">
        <v>52079.0</v>
      </c>
      <c r="B297" s="18"/>
      <c r="C297" s="19"/>
      <c r="D297" s="19"/>
      <c r="E297" s="19"/>
      <c r="F297" s="15">
        <f t="shared" si="1"/>
        <v>296</v>
      </c>
      <c r="G297" s="11"/>
      <c r="H297" s="11"/>
      <c r="I297" s="6"/>
      <c r="J297" s="6"/>
      <c r="K297" s="6"/>
      <c r="L297" s="6"/>
      <c r="M297" s="6"/>
      <c r="N297" s="6"/>
      <c r="O297" s="6"/>
      <c r="P297" s="6"/>
      <c r="Q297" s="6"/>
    </row>
    <row r="298" ht="19.5" customHeight="1">
      <c r="A298" s="12">
        <v>52110.0</v>
      </c>
      <c r="B298" s="16"/>
      <c r="C298" s="17"/>
      <c r="D298" s="17"/>
      <c r="E298" s="17"/>
      <c r="F298" s="15">
        <f t="shared" si="1"/>
        <v>297</v>
      </c>
      <c r="G298" s="11"/>
      <c r="H298" s="11"/>
      <c r="I298" s="6"/>
      <c r="J298" s="6"/>
      <c r="K298" s="6"/>
      <c r="L298" s="6"/>
      <c r="M298" s="6"/>
      <c r="N298" s="6"/>
      <c r="O298" s="6"/>
      <c r="P298" s="6"/>
      <c r="Q298" s="6"/>
    </row>
    <row r="299" ht="19.5" customHeight="1">
      <c r="A299" s="12">
        <v>52140.0</v>
      </c>
      <c r="B299" s="18"/>
      <c r="C299" s="19"/>
      <c r="D299" s="19"/>
      <c r="E299" s="19"/>
      <c r="F299" s="15">
        <f t="shared" si="1"/>
        <v>298</v>
      </c>
      <c r="G299" s="11"/>
      <c r="H299" s="11"/>
      <c r="I299" s="6"/>
      <c r="J299" s="6"/>
      <c r="K299" s="6"/>
      <c r="L299" s="6"/>
      <c r="M299" s="6"/>
      <c r="N299" s="6"/>
      <c r="O299" s="6"/>
      <c r="P299" s="6"/>
      <c r="Q299" s="6"/>
    </row>
    <row r="300" ht="19.5" customHeight="1">
      <c r="A300" s="12">
        <v>52171.0</v>
      </c>
      <c r="B300" s="16"/>
      <c r="C300" s="17"/>
      <c r="D300" s="17"/>
      <c r="E300" s="17"/>
      <c r="F300" s="15">
        <f t="shared" si="1"/>
        <v>299</v>
      </c>
      <c r="G300" s="11"/>
      <c r="H300" s="11"/>
      <c r="I300" s="6"/>
      <c r="J300" s="6"/>
      <c r="K300" s="6"/>
      <c r="L300" s="6"/>
      <c r="M300" s="6"/>
      <c r="N300" s="6"/>
      <c r="O300" s="6"/>
      <c r="P300" s="6"/>
      <c r="Q300" s="6"/>
    </row>
    <row r="301" ht="19.5" customHeight="1">
      <c r="A301" s="12">
        <v>52201.0</v>
      </c>
      <c r="B301" s="18"/>
      <c r="C301" s="19"/>
      <c r="D301" s="19"/>
      <c r="E301" s="19"/>
      <c r="F301" s="15">
        <f t="shared" si="1"/>
        <v>300</v>
      </c>
      <c r="G301" s="11"/>
      <c r="H301" s="11"/>
      <c r="I301" s="6"/>
      <c r="J301" s="6"/>
      <c r="K301" s="6"/>
      <c r="L301" s="6"/>
      <c r="M301" s="6"/>
      <c r="N301" s="6"/>
      <c r="O301" s="6"/>
      <c r="P301" s="6"/>
      <c r="Q301" s="6"/>
    </row>
    <row r="302" ht="19.5" customHeight="1">
      <c r="A302" s="12">
        <v>52232.0</v>
      </c>
      <c r="B302" s="16"/>
      <c r="C302" s="17"/>
      <c r="D302" s="17"/>
      <c r="E302" s="17"/>
      <c r="F302" s="15">
        <f t="shared" si="1"/>
        <v>301</v>
      </c>
      <c r="G302" s="11"/>
      <c r="H302" s="11"/>
      <c r="I302" s="6"/>
      <c r="J302" s="6"/>
      <c r="K302" s="6"/>
      <c r="L302" s="6"/>
      <c r="M302" s="6"/>
      <c r="N302" s="6"/>
      <c r="O302" s="6"/>
      <c r="P302" s="6"/>
      <c r="Q302" s="6"/>
    </row>
    <row r="303" ht="19.5" customHeight="1">
      <c r="A303" s="12">
        <v>52263.0</v>
      </c>
      <c r="B303" s="18"/>
      <c r="C303" s="19"/>
      <c r="D303" s="19"/>
      <c r="E303" s="19"/>
      <c r="F303" s="15">
        <f t="shared" si="1"/>
        <v>302</v>
      </c>
      <c r="G303" s="11"/>
      <c r="H303" s="11"/>
      <c r="I303" s="6"/>
      <c r="J303" s="6"/>
      <c r="K303" s="6"/>
      <c r="L303" s="6"/>
      <c r="M303" s="6"/>
      <c r="N303" s="6"/>
      <c r="O303" s="6"/>
      <c r="P303" s="6"/>
      <c r="Q303" s="6"/>
    </row>
    <row r="304" ht="19.5" customHeight="1">
      <c r="A304" s="12">
        <v>52291.0</v>
      </c>
      <c r="B304" s="16"/>
      <c r="C304" s="17"/>
      <c r="D304" s="17"/>
      <c r="E304" s="17"/>
      <c r="F304" s="15">
        <f t="shared" si="1"/>
        <v>303</v>
      </c>
      <c r="G304" s="11"/>
      <c r="H304" s="11"/>
      <c r="I304" s="6"/>
      <c r="J304" s="6"/>
      <c r="K304" s="6"/>
      <c r="L304" s="6"/>
      <c r="M304" s="6"/>
      <c r="N304" s="6"/>
      <c r="O304" s="6"/>
      <c r="P304" s="6"/>
      <c r="Q304" s="6"/>
    </row>
    <row r="305" ht="19.5" customHeight="1">
      <c r="A305" s="12">
        <v>52322.0</v>
      </c>
      <c r="B305" s="18"/>
      <c r="C305" s="19"/>
      <c r="D305" s="19"/>
      <c r="E305" s="19"/>
      <c r="F305" s="15">
        <f t="shared" si="1"/>
        <v>304</v>
      </c>
      <c r="G305" s="11"/>
      <c r="H305" s="11"/>
      <c r="I305" s="6"/>
      <c r="J305" s="6"/>
      <c r="K305" s="6"/>
      <c r="L305" s="6"/>
      <c r="M305" s="6"/>
      <c r="N305" s="6"/>
      <c r="O305" s="6"/>
      <c r="P305" s="6"/>
      <c r="Q305" s="6"/>
    </row>
    <row r="306" ht="19.5" customHeight="1">
      <c r="A306" s="12">
        <v>52352.0</v>
      </c>
      <c r="B306" s="16"/>
      <c r="C306" s="17"/>
      <c r="D306" s="17"/>
      <c r="E306" s="17"/>
      <c r="F306" s="15">
        <f t="shared" si="1"/>
        <v>305</v>
      </c>
      <c r="G306" s="11"/>
      <c r="H306" s="11"/>
      <c r="I306" s="6"/>
      <c r="J306" s="6"/>
      <c r="K306" s="6"/>
      <c r="L306" s="6"/>
      <c r="M306" s="6"/>
      <c r="N306" s="6"/>
      <c r="O306" s="6"/>
      <c r="P306" s="6"/>
      <c r="Q306" s="6"/>
    </row>
    <row r="307" ht="19.5" customHeight="1">
      <c r="A307" s="12">
        <v>52383.0</v>
      </c>
      <c r="B307" s="18"/>
      <c r="C307" s="19"/>
      <c r="D307" s="19"/>
      <c r="E307" s="19"/>
      <c r="F307" s="15">
        <f t="shared" si="1"/>
        <v>306</v>
      </c>
      <c r="G307" s="11"/>
      <c r="H307" s="11"/>
      <c r="I307" s="6"/>
      <c r="J307" s="6"/>
      <c r="K307" s="6"/>
      <c r="L307" s="6"/>
      <c r="M307" s="6"/>
      <c r="N307" s="6"/>
      <c r="O307" s="6"/>
      <c r="P307" s="6"/>
      <c r="Q307" s="6"/>
    </row>
    <row r="308" ht="19.5" customHeight="1">
      <c r="A308" s="12">
        <v>52413.0</v>
      </c>
      <c r="B308" s="16"/>
      <c r="C308" s="17"/>
      <c r="D308" s="17"/>
      <c r="E308" s="17"/>
      <c r="F308" s="15">
        <f t="shared" si="1"/>
        <v>307</v>
      </c>
      <c r="G308" s="11"/>
      <c r="H308" s="11"/>
      <c r="I308" s="6"/>
      <c r="J308" s="6"/>
      <c r="K308" s="6"/>
      <c r="L308" s="6"/>
      <c r="M308" s="6"/>
      <c r="N308" s="6"/>
      <c r="O308" s="6"/>
      <c r="P308" s="6"/>
      <c r="Q308" s="6"/>
    </row>
    <row r="309" ht="19.5" customHeight="1">
      <c r="A309" s="12">
        <v>52444.0</v>
      </c>
      <c r="B309" s="18"/>
      <c r="C309" s="19"/>
      <c r="D309" s="19"/>
      <c r="E309" s="19"/>
      <c r="F309" s="15">
        <f t="shared" si="1"/>
        <v>308</v>
      </c>
      <c r="G309" s="11"/>
      <c r="H309" s="11"/>
      <c r="I309" s="6"/>
      <c r="J309" s="6"/>
      <c r="K309" s="6"/>
      <c r="L309" s="6"/>
      <c r="M309" s="6"/>
      <c r="N309" s="6"/>
      <c r="O309" s="6"/>
      <c r="P309" s="6"/>
      <c r="Q309" s="6"/>
    </row>
    <row r="310" ht="19.5" customHeight="1">
      <c r="A310" s="12">
        <v>52475.0</v>
      </c>
      <c r="B310" s="16"/>
      <c r="C310" s="17"/>
      <c r="D310" s="17"/>
      <c r="E310" s="17"/>
      <c r="F310" s="15">
        <f t="shared" si="1"/>
        <v>309</v>
      </c>
      <c r="G310" s="11"/>
      <c r="H310" s="11"/>
      <c r="I310" s="6"/>
      <c r="J310" s="6"/>
      <c r="K310" s="6"/>
      <c r="L310" s="6"/>
      <c r="M310" s="6"/>
      <c r="N310" s="6"/>
      <c r="O310" s="6"/>
      <c r="P310" s="6"/>
      <c r="Q310" s="6"/>
    </row>
    <row r="311" ht="19.5" customHeight="1">
      <c r="A311" s="12">
        <v>52505.0</v>
      </c>
      <c r="B311" s="18"/>
      <c r="C311" s="19"/>
      <c r="D311" s="19"/>
      <c r="E311" s="19"/>
      <c r="F311" s="15">
        <f t="shared" si="1"/>
        <v>310</v>
      </c>
      <c r="G311" s="11"/>
      <c r="H311" s="11"/>
      <c r="I311" s="6"/>
      <c r="J311" s="6"/>
      <c r="K311" s="6"/>
      <c r="L311" s="6"/>
      <c r="M311" s="6"/>
      <c r="N311" s="6"/>
      <c r="O311" s="6"/>
      <c r="P311" s="6"/>
      <c r="Q311" s="6"/>
    </row>
    <row r="312" ht="19.5" customHeight="1">
      <c r="A312" s="12">
        <v>52536.0</v>
      </c>
      <c r="B312" s="16"/>
      <c r="C312" s="17"/>
      <c r="D312" s="17"/>
      <c r="E312" s="17"/>
      <c r="F312" s="15">
        <f t="shared" si="1"/>
        <v>311</v>
      </c>
      <c r="G312" s="11"/>
      <c r="H312" s="11"/>
      <c r="I312" s="6"/>
      <c r="J312" s="6"/>
      <c r="K312" s="6"/>
      <c r="L312" s="6"/>
      <c r="M312" s="6"/>
      <c r="N312" s="6"/>
      <c r="O312" s="6"/>
      <c r="P312" s="6"/>
      <c r="Q312" s="6"/>
    </row>
    <row r="313" ht="19.5" customHeight="1">
      <c r="A313" s="12">
        <v>52566.0</v>
      </c>
      <c r="B313" s="18"/>
      <c r="C313" s="19"/>
      <c r="D313" s="19"/>
      <c r="E313" s="19"/>
      <c r="F313" s="15">
        <f t="shared" si="1"/>
        <v>312</v>
      </c>
      <c r="G313" s="11"/>
      <c r="H313" s="11"/>
      <c r="I313" s="6"/>
      <c r="J313" s="6"/>
      <c r="K313" s="6"/>
      <c r="L313" s="6"/>
      <c r="M313" s="6"/>
      <c r="N313" s="6"/>
      <c r="O313" s="6"/>
      <c r="P313" s="6"/>
      <c r="Q313" s="6"/>
    </row>
    <row r="314" ht="19.5" customHeight="1">
      <c r="A314" s="12">
        <v>52597.0</v>
      </c>
      <c r="B314" s="16"/>
      <c r="C314" s="17"/>
      <c r="D314" s="17"/>
      <c r="E314" s="17"/>
      <c r="F314" s="15">
        <f t="shared" si="1"/>
        <v>313</v>
      </c>
      <c r="G314" s="11"/>
      <c r="H314" s="11"/>
      <c r="I314" s="6"/>
      <c r="J314" s="6"/>
      <c r="K314" s="6"/>
      <c r="L314" s="6"/>
      <c r="M314" s="6"/>
      <c r="N314" s="6"/>
      <c r="O314" s="6"/>
      <c r="P314" s="6"/>
      <c r="Q314" s="6"/>
    </row>
    <row r="315" ht="19.5" customHeight="1">
      <c r="A315" s="12">
        <v>52628.0</v>
      </c>
      <c r="B315" s="18"/>
      <c r="C315" s="19"/>
      <c r="D315" s="19"/>
      <c r="E315" s="19"/>
      <c r="F315" s="15">
        <f t="shared" si="1"/>
        <v>314</v>
      </c>
      <c r="G315" s="11"/>
      <c r="H315" s="11"/>
      <c r="I315" s="6"/>
      <c r="J315" s="6"/>
      <c r="K315" s="6"/>
      <c r="L315" s="6"/>
      <c r="M315" s="6"/>
      <c r="N315" s="6"/>
      <c r="O315" s="6"/>
      <c r="P315" s="6"/>
      <c r="Q315" s="6"/>
    </row>
    <row r="316" ht="19.5" customHeight="1">
      <c r="A316" s="12">
        <v>52657.0</v>
      </c>
      <c r="B316" s="16"/>
      <c r="C316" s="17"/>
      <c r="D316" s="17"/>
      <c r="E316" s="17"/>
      <c r="F316" s="15">
        <f t="shared" si="1"/>
        <v>315</v>
      </c>
      <c r="G316" s="11"/>
      <c r="H316" s="11"/>
      <c r="I316" s="6"/>
      <c r="J316" s="6"/>
      <c r="K316" s="6"/>
      <c r="L316" s="6"/>
      <c r="M316" s="6"/>
      <c r="N316" s="6"/>
      <c r="O316" s="6"/>
      <c r="P316" s="6"/>
      <c r="Q316" s="6"/>
    </row>
    <row r="317" ht="19.5" customHeight="1">
      <c r="A317" s="12">
        <v>52688.0</v>
      </c>
      <c r="B317" s="18"/>
      <c r="C317" s="19"/>
      <c r="D317" s="19"/>
      <c r="E317" s="19"/>
      <c r="F317" s="15">
        <f t="shared" si="1"/>
        <v>316</v>
      </c>
      <c r="G317" s="11"/>
      <c r="H317" s="11"/>
      <c r="I317" s="6"/>
      <c r="J317" s="6"/>
      <c r="K317" s="6"/>
      <c r="L317" s="6"/>
      <c r="M317" s="6"/>
      <c r="N317" s="6"/>
      <c r="O317" s="6"/>
      <c r="P317" s="6"/>
      <c r="Q317" s="6"/>
    </row>
    <row r="318" ht="19.5" customHeight="1">
      <c r="A318" s="12">
        <v>52718.0</v>
      </c>
      <c r="B318" s="16"/>
      <c r="C318" s="17"/>
      <c r="D318" s="17"/>
      <c r="E318" s="17"/>
      <c r="F318" s="15">
        <f t="shared" si="1"/>
        <v>317</v>
      </c>
      <c r="G318" s="11"/>
      <c r="H318" s="11"/>
      <c r="I318" s="6"/>
      <c r="J318" s="6"/>
      <c r="K318" s="6"/>
      <c r="L318" s="6"/>
      <c r="M318" s="6"/>
      <c r="N318" s="6"/>
      <c r="O318" s="6"/>
      <c r="P318" s="6"/>
      <c r="Q318" s="6"/>
    </row>
    <row r="319" ht="19.5" customHeight="1">
      <c r="A319" s="12">
        <v>52749.0</v>
      </c>
      <c r="B319" s="18"/>
      <c r="C319" s="19"/>
      <c r="D319" s="19"/>
      <c r="E319" s="19"/>
      <c r="F319" s="15">
        <f t="shared" si="1"/>
        <v>318</v>
      </c>
      <c r="G319" s="11"/>
      <c r="H319" s="11"/>
      <c r="I319" s="6"/>
      <c r="J319" s="6"/>
      <c r="K319" s="6"/>
      <c r="L319" s="6"/>
      <c r="M319" s="6"/>
      <c r="N319" s="6"/>
      <c r="O319" s="6"/>
      <c r="P319" s="6"/>
      <c r="Q319" s="6"/>
    </row>
    <row r="320" ht="19.5" customHeight="1">
      <c r="A320" s="12">
        <v>52779.0</v>
      </c>
      <c r="B320" s="16"/>
      <c r="C320" s="17"/>
      <c r="D320" s="17"/>
      <c r="E320" s="17"/>
      <c r="F320" s="15">
        <f t="shared" si="1"/>
        <v>319</v>
      </c>
      <c r="G320" s="11"/>
      <c r="H320" s="11"/>
      <c r="I320" s="6"/>
      <c r="J320" s="6"/>
      <c r="K320" s="6"/>
      <c r="L320" s="6"/>
      <c r="M320" s="6"/>
      <c r="N320" s="6"/>
      <c r="O320" s="6"/>
      <c r="P320" s="6"/>
      <c r="Q320" s="6"/>
    </row>
    <row r="321" ht="19.5" customHeight="1">
      <c r="A321" s="12">
        <v>52810.0</v>
      </c>
      <c r="B321" s="18"/>
      <c r="C321" s="19"/>
      <c r="D321" s="19"/>
      <c r="E321" s="19"/>
      <c r="F321" s="15">
        <f t="shared" si="1"/>
        <v>320</v>
      </c>
      <c r="G321" s="11"/>
      <c r="H321" s="11"/>
      <c r="I321" s="6"/>
      <c r="J321" s="6"/>
      <c r="K321" s="6"/>
      <c r="L321" s="6"/>
      <c r="M321" s="6"/>
      <c r="N321" s="6"/>
      <c r="O321" s="6"/>
      <c r="P321" s="6"/>
      <c r="Q321" s="6"/>
    </row>
    <row r="322" ht="19.5" customHeight="1">
      <c r="A322" s="12">
        <v>52841.0</v>
      </c>
      <c r="B322" s="16"/>
      <c r="C322" s="17"/>
      <c r="D322" s="17"/>
      <c r="E322" s="17"/>
      <c r="F322" s="15">
        <f t="shared" si="1"/>
        <v>321</v>
      </c>
      <c r="G322" s="11"/>
      <c r="H322" s="11"/>
      <c r="I322" s="6"/>
      <c r="J322" s="6"/>
      <c r="K322" s="6"/>
      <c r="L322" s="6"/>
      <c r="M322" s="6"/>
      <c r="N322" s="6"/>
      <c r="O322" s="6"/>
      <c r="P322" s="6"/>
      <c r="Q322" s="6"/>
    </row>
    <row r="323" ht="19.5" customHeight="1">
      <c r="A323" s="12">
        <v>52871.0</v>
      </c>
      <c r="B323" s="18"/>
      <c r="C323" s="19"/>
      <c r="D323" s="19"/>
      <c r="E323" s="19"/>
      <c r="F323" s="15">
        <f t="shared" si="1"/>
        <v>322</v>
      </c>
      <c r="G323" s="11"/>
      <c r="H323" s="11"/>
      <c r="I323" s="6"/>
      <c r="J323" s="6"/>
      <c r="K323" s="6"/>
      <c r="L323" s="6"/>
      <c r="M323" s="6"/>
      <c r="N323" s="6"/>
      <c r="O323" s="6"/>
      <c r="P323" s="6"/>
      <c r="Q323" s="6"/>
    </row>
    <row r="324" ht="19.5" customHeight="1">
      <c r="A324" s="12">
        <v>52902.0</v>
      </c>
      <c r="B324" s="16"/>
      <c r="C324" s="17"/>
      <c r="D324" s="17"/>
      <c r="E324" s="17"/>
      <c r="F324" s="15">
        <f t="shared" si="1"/>
        <v>323</v>
      </c>
      <c r="G324" s="11"/>
      <c r="H324" s="11"/>
      <c r="I324" s="6"/>
      <c r="J324" s="6"/>
      <c r="K324" s="6"/>
      <c r="L324" s="6"/>
      <c r="M324" s="6"/>
      <c r="N324" s="6"/>
      <c r="O324" s="6"/>
      <c r="P324" s="6"/>
      <c r="Q324" s="6"/>
    </row>
    <row r="325" ht="19.5" customHeight="1">
      <c r="A325" s="12">
        <v>52932.0</v>
      </c>
      <c r="B325" s="18"/>
      <c r="C325" s="19"/>
      <c r="D325" s="19"/>
      <c r="E325" s="19"/>
      <c r="F325" s="15">
        <f t="shared" si="1"/>
        <v>324</v>
      </c>
      <c r="G325" s="11"/>
      <c r="H325" s="11"/>
      <c r="I325" s="6"/>
      <c r="J325" s="6"/>
      <c r="K325" s="6"/>
      <c r="L325" s="6"/>
      <c r="M325" s="6"/>
      <c r="N325" s="6"/>
      <c r="O325" s="6"/>
      <c r="P325" s="6"/>
      <c r="Q325" s="6"/>
    </row>
    <row r="326" ht="19.5" customHeight="1">
      <c r="A326" s="12">
        <v>52963.0</v>
      </c>
      <c r="B326" s="16"/>
      <c r="C326" s="17"/>
      <c r="D326" s="17"/>
      <c r="E326" s="17"/>
      <c r="F326" s="15">
        <f t="shared" si="1"/>
        <v>325</v>
      </c>
      <c r="G326" s="11"/>
      <c r="H326" s="11"/>
      <c r="I326" s="6"/>
      <c r="J326" s="6"/>
      <c r="K326" s="6"/>
      <c r="L326" s="6"/>
      <c r="M326" s="6"/>
      <c r="N326" s="6"/>
      <c r="O326" s="6"/>
      <c r="P326" s="6"/>
      <c r="Q326" s="6"/>
    </row>
    <row r="327" ht="19.5" customHeight="1">
      <c r="A327" s="12">
        <v>52994.0</v>
      </c>
      <c r="B327" s="18"/>
      <c r="C327" s="19"/>
      <c r="D327" s="19"/>
      <c r="E327" s="19"/>
      <c r="F327" s="15">
        <f t="shared" si="1"/>
        <v>326</v>
      </c>
      <c r="G327" s="11"/>
      <c r="H327" s="11"/>
      <c r="I327" s="6"/>
      <c r="J327" s="6"/>
      <c r="K327" s="6"/>
      <c r="L327" s="6"/>
      <c r="M327" s="6"/>
      <c r="N327" s="6"/>
      <c r="O327" s="6"/>
      <c r="P327" s="6"/>
      <c r="Q327" s="6"/>
    </row>
    <row r="328" ht="19.5" customHeight="1">
      <c r="A328" s="12">
        <v>53022.0</v>
      </c>
      <c r="B328" s="16"/>
      <c r="C328" s="17"/>
      <c r="D328" s="17"/>
      <c r="E328" s="17"/>
      <c r="F328" s="15">
        <f t="shared" si="1"/>
        <v>327</v>
      </c>
      <c r="G328" s="11"/>
      <c r="H328" s="11"/>
      <c r="I328" s="6"/>
      <c r="J328" s="6"/>
      <c r="K328" s="6"/>
      <c r="L328" s="6"/>
      <c r="M328" s="6"/>
      <c r="N328" s="6"/>
      <c r="O328" s="6"/>
      <c r="P328" s="6"/>
      <c r="Q328" s="6"/>
    </row>
    <row r="329" ht="19.5" customHeight="1">
      <c r="A329" s="12">
        <v>53053.0</v>
      </c>
      <c r="B329" s="18"/>
      <c r="C329" s="19"/>
      <c r="D329" s="19"/>
      <c r="E329" s="19"/>
      <c r="F329" s="15">
        <f t="shared" si="1"/>
        <v>328</v>
      </c>
      <c r="G329" s="11"/>
      <c r="H329" s="11"/>
      <c r="I329" s="6"/>
      <c r="J329" s="6"/>
      <c r="K329" s="6"/>
      <c r="L329" s="6"/>
      <c r="M329" s="6"/>
      <c r="N329" s="6"/>
      <c r="O329" s="6"/>
      <c r="P329" s="6"/>
      <c r="Q329" s="6"/>
    </row>
    <row r="330" ht="19.5" customHeight="1">
      <c r="A330" s="12">
        <v>53083.0</v>
      </c>
      <c r="B330" s="16"/>
      <c r="C330" s="17"/>
      <c r="D330" s="17"/>
      <c r="E330" s="17"/>
      <c r="F330" s="15">
        <f t="shared" si="1"/>
        <v>329</v>
      </c>
      <c r="G330" s="11"/>
      <c r="H330" s="11"/>
      <c r="I330" s="6"/>
      <c r="J330" s="6"/>
      <c r="K330" s="6"/>
      <c r="L330" s="6"/>
      <c r="M330" s="6"/>
      <c r="N330" s="6"/>
      <c r="O330" s="6"/>
      <c r="P330" s="6"/>
      <c r="Q330" s="6"/>
    </row>
    <row r="331" ht="19.5" customHeight="1">
      <c r="A331" s="12">
        <v>53114.0</v>
      </c>
      <c r="B331" s="18"/>
      <c r="C331" s="19"/>
      <c r="D331" s="19"/>
      <c r="E331" s="19"/>
      <c r="F331" s="15">
        <f t="shared" si="1"/>
        <v>330</v>
      </c>
      <c r="G331" s="11"/>
      <c r="H331" s="11"/>
      <c r="I331" s="6"/>
      <c r="J331" s="6"/>
      <c r="K331" s="6"/>
      <c r="L331" s="6"/>
      <c r="M331" s="6"/>
      <c r="N331" s="6"/>
      <c r="O331" s="6"/>
      <c r="P331" s="6"/>
      <c r="Q331" s="6"/>
    </row>
    <row r="332" ht="19.5" customHeight="1">
      <c r="A332" s="12">
        <v>53144.0</v>
      </c>
      <c r="B332" s="16"/>
      <c r="C332" s="17"/>
      <c r="D332" s="17"/>
      <c r="E332" s="17"/>
      <c r="F332" s="15">
        <f t="shared" si="1"/>
        <v>331</v>
      </c>
      <c r="G332" s="11"/>
      <c r="H332" s="11"/>
      <c r="I332" s="6"/>
      <c r="J332" s="6"/>
      <c r="K332" s="6"/>
      <c r="L332" s="6"/>
      <c r="M332" s="6"/>
      <c r="N332" s="6"/>
      <c r="O332" s="6"/>
      <c r="P332" s="6"/>
      <c r="Q332" s="6"/>
    </row>
    <row r="333" ht="19.5" customHeight="1">
      <c r="A333" s="12">
        <v>53175.0</v>
      </c>
      <c r="B333" s="18"/>
      <c r="C333" s="19"/>
      <c r="D333" s="19"/>
      <c r="E333" s="19"/>
      <c r="F333" s="15">
        <f t="shared" si="1"/>
        <v>332</v>
      </c>
      <c r="G333" s="11"/>
      <c r="H333" s="11"/>
      <c r="I333" s="6"/>
      <c r="J333" s="6"/>
      <c r="K333" s="6"/>
      <c r="L333" s="6"/>
      <c r="M333" s="6"/>
      <c r="N333" s="6"/>
      <c r="O333" s="6"/>
      <c r="P333" s="6"/>
      <c r="Q333" s="6"/>
    </row>
    <row r="334" ht="19.5" customHeight="1">
      <c r="A334" s="12">
        <v>53206.0</v>
      </c>
      <c r="B334" s="16"/>
      <c r="C334" s="17"/>
      <c r="D334" s="17"/>
      <c r="E334" s="17"/>
      <c r="F334" s="15">
        <f t="shared" si="1"/>
        <v>333</v>
      </c>
      <c r="G334" s="11"/>
      <c r="H334" s="11"/>
      <c r="I334" s="6"/>
      <c r="J334" s="6"/>
      <c r="K334" s="6"/>
      <c r="L334" s="6"/>
      <c r="M334" s="6"/>
      <c r="N334" s="6"/>
      <c r="O334" s="6"/>
      <c r="P334" s="6"/>
      <c r="Q334" s="6"/>
    </row>
    <row r="335" ht="19.5" customHeight="1">
      <c r="A335" s="12">
        <v>53236.0</v>
      </c>
      <c r="B335" s="18"/>
      <c r="C335" s="19"/>
      <c r="D335" s="19"/>
      <c r="E335" s="19"/>
      <c r="F335" s="15">
        <f t="shared" si="1"/>
        <v>334</v>
      </c>
      <c r="G335" s="11"/>
      <c r="H335" s="11"/>
      <c r="I335" s="6"/>
      <c r="J335" s="6"/>
      <c r="K335" s="6"/>
      <c r="L335" s="6"/>
      <c r="M335" s="6"/>
      <c r="N335" s="6"/>
      <c r="O335" s="6"/>
      <c r="P335" s="6"/>
      <c r="Q335" s="6"/>
    </row>
    <row r="336" ht="19.5" customHeight="1">
      <c r="A336" s="12">
        <v>53267.0</v>
      </c>
      <c r="B336" s="16"/>
      <c r="C336" s="17"/>
      <c r="D336" s="17"/>
      <c r="E336" s="17"/>
      <c r="F336" s="15">
        <f t="shared" si="1"/>
        <v>335</v>
      </c>
      <c r="G336" s="11"/>
      <c r="H336" s="11"/>
      <c r="I336" s="6"/>
      <c r="J336" s="6"/>
      <c r="K336" s="6"/>
      <c r="L336" s="6"/>
      <c r="M336" s="6"/>
      <c r="N336" s="6"/>
      <c r="O336" s="6"/>
      <c r="P336" s="6"/>
      <c r="Q336" s="6"/>
    </row>
    <row r="337" ht="19.5" customHeight="1">
      <c r="A337" s="12">
        <v>53297.0</v>
      </c>
      <c r="B337" s="18"/>
      <c r="C337" s="19"/>
      <c r="D337" s="19"/>
      <c r="E337" s="19"/>
      <c r="F337" s="15">
        <f t="shared" si="1"/>
        <v>336</v>
      </c>
      <c r="G337" s="11"/>
      <c r="H337" s="11"/>
      <c r="I337" s="6"/>
      <c r="J337" s="6"/>
      <c r="K337" s="6"/>
      <c r="L337" s="6"/>
      <c r="M337" s="6"/>
      <c r="N337" s="6"/>
      <c r="O337" s="6"/>
      <c r="P337" s="6"/>
      <c r="Q337" s="6"/>
    </row>
    <row r="338" ht="19.5" customHeight="1">
      <c r="A338" s="12">
        <v>53328.0</v>
      </c>
      <c r="B338" s="16"/>
      <c r="C338" s="17"/>
      <c r="D338" s="17"/>
      <c r="E338" s="17"/>
      <c r="F338" s="15">
        <f t="shared" si="1"/>
        <v>337</v>
      </c>
      <c r="G338" s="11"/>
      <c r="H338" s="11"/>
      <c r="I338" s="6"/>
      <c r="J338" s="6"/>
      <c r="K338" s="6"/>
      <c r="L338" s="6"/>
      <c r="M338" s="6"/>
      <c r="N338" s="6"/>
      <c r="O338" s="6"/>
      <c r="P338" s="6"/>
      <c r="Q338" s="6"/>
    </row>
    <row r="339" ht="19.5" customHeight="1">
      <c r="A339" s="12">
        <v>53359.0</v>
      </c>
      <c r="B339" s="18"/>
      <c r="C339" s="19"/>
      <c r="D339" s="19"/>
      <c r="E339" s="19"/>
      <c r="F339" s="15">
        <f t="shared" si="1"/>
        <v>338</v>
      </c>
      <c r="G339" s="11"/>
      <c r="H339" s="11"/>
      <c r="I339" s="6"/>
      <c r="J339" s="6"/>
      <c r="K339" s="6"/>
      <c r="L339" s="6"/>
      <c r="M339" s="6"/>
      <c r="N339" s="6"/>
      <c r="O339" s="6"/>
      <c r="P339" s="6"/>
      <c r="Q339" s="6"/>
    </row>
    <row r="340" ht="19.5" customHeight="1">
      <c r="A340" s="12">
        <v>53387.0</v>
      </c>
      <c r="B340" s="16"/>
      <c r="C340" s="17"/>
      <c r="D340" s="17"/>
      <c r="E340" s="17"/>
      <c r="F340" s="15">
        <f t="shared" si="1"/>
        <v>339</v>
      </c>
      <c r="G340" s="11"/>
      <c r="H340" s="11"/>
      <c r="I340" s="6"/>
      <c r="J340" s="6"/>
      <c r="K340" s="6"/>
      <c r="L340" s="6"/>
      <c r="M340" s="6"/>
      <c r="N340" s="6"/>
      <c r="O340" s="6"/>
      <c r="P340" s="6"/>
      <c r="Q340" s="6"/>
    </row>
    <row r="341" ht="19.5" customHeight="1">
      <c r="A341" s="12">
        <v>53418.0</v>
      </c>
      <c r="B341" s="18"/>
      <c r="C341" s="19"/>
      <c r="D341" s="19"/>
      <c r="E341" s="19"/>
      <c r="F341" s="15">
        <f t="shared" si="1"/>
        <v>340</v>
      </c>
      <c r="G341" s="11"/>
      <c r="H341" s="11"/>
      <c r="I341" s="6"/>
      <c r="J341" s="6"/>
      <c r="K341" s="6"/>
      <c r="L341" s="6"/>
      <c r="M341" s="6"/>
      <c r="N341" s="6"/>
      <c r="O341" s="6"/>
      <c r="P341" s="6"/>
      <c r="Q341" s="6"/>
    </row>
    <row r="342" ht="19.5" customHeight="1">
      <c r="A342" s="12">
        <v>53448.0</v>
      </c>
      <c r="B342" s="16"/>
      <c r="C342" s="17"/>
      <c r="D342" s="17"/>
      <c r="E342" s="17"/>
      <c r="F342" s="15">
        <f t="shared" si="1"/>
        <v>341</v>
      </c>
      <c r="G342" s="11"/>
      <c r="H342" s="11"/>
      <c r="I342" s="6"/>
      <c r="J342" s="6"/>
      <c r="K342" s="6"/>
      <c r="L342" s="6"/>
      <c r="M342" s="6"/>
      <c r="N342" s="6"/>
      <c r="O342" s="6"/>
      <c r="P342" s="6"/>
      <c r="Q342" s="6"/>
    </row>
    <row r="343" ht="19.5" customHeight="1">
      <c r="A343" s="12">
        <v>53479.0</v>
      </c>
      <c r="B343" s="18"/>
      <c r="C343" s="19"/>
      <c r="D343" s="19"/>
      <c r="E343" s="19"/>
      <c r="F343" s="15">
        <f t="shared" si="1"/>
        <v>342</v>
      </c>
      <c r="G343" s="11"/>
      <c r="H343" s="11"/>
      <c r="I343" s="6"/>
      <c r="J343" s="6"/>
      <c r="K343" s="6"/>
      <c r="L343" s="6"/>
      <c r="M343" s="6"/>
      <c r="N343" s="6"/>
      <c r="O343" s="6"/>
      <c r="P343" s="6"/>
      <c r="Q343" s="6"/>
    </row>
    <row r="344" ht="19.5" customHeight="1">
      <c r="A344" s="12">
        <v>53509.0</v>
      </c>
      <c r="B344" s="16"/>
      <c r="C344" s="17"/>
      <c r="D344" s="17"/>
      <c r="E344" s="17"/>
      <c r="F344" s="15">
        <f t="shared" si="1"/>
        <v>343</v>
      </c>
      <c r="G344" s="11"/>
      <c r="H344" s="11"/>
      <c r="I344" s="6"/>
      <c r="J344" s="6"/>
      <c r="K344" s="6"/>
      <c r="L344" s="6"/>
      <c r="M344" s="6"/>
      <c r="N344" s="6"/>
      <c r="O344" s="6"/>
      <c r="P344" s="6"/>
      <c r="Q344" s="6"/>
    </row>
    <row r="345" ht="19.5" customHeight="1">
      <c r="A345" s="12">
        <v>53540.0</v>
      </c>
      <c r="B345" s="18"/>
      <c r="C345" s="19"/>
      <c r="D345" s="19"/>
      <c r="E345" s="19"/>
      <c r="F345" s="15">
        <f t="shared" si="1"/>
        <v>344</v>
      </c>
      <c r="G345" s="11"/>
      <c r="H345" s="11"/>
      <c r="I345" s="6"/>
      <c r="J345" s="6"/>
      <c r="K345" s="6"/>
      <c r="L345" s="6"/>
      <c r="M345" s="6"/>
      <c r="N345" s="6"/>
      <c r="O345" s="6"/>
      <c r="P345" s="6"/>
      <c r="Q345" s="6"/>
    </row>
    <row r="346" ht="19.5" customHeight="1">
      <c r="A346" s="12">
        <v>53571.0</v>
      </c>
      <c r="B346" s="16"/>
      <c r="C346" s="17"/>
      <c r="D346" s="17"/>
      <c r="E346" s="17"/>
      <c r="F346" s="15">
        <f t="shared" si="1"/>
        <v>345</v>
      </c>
      <c r="G346" s="11"/>
      <c r="H346" s="11"/>
      <c r="I346" s="6"/>
      <c r="J346" s="6"/>
      <c r="K346" s="6"/>
      <c r="L346" s="6"/>
      <c r="M346" s="6"/>
      <c r="N346" s="6"/>
      <c r="O346" s="6"/>
      <c r="P346" s="6"/>
      <c r="Q346" s="6"/>
    </row>
    <row r="347" ht="19.5" customHeight="1">
      <c r="A347" s="12">
        <v>53601.0</v>
      </c>
      <c r="B347" s="18"/>
      <c r="C347" s="19"/>
      <c r="D347" s="19"/>
      <c r="E347" s="19"/>
      <c r="F347" s="15">
        <f t="shared" si="1"/>
        <v>346</v>
      </c>
      <c r="G347" s="11"/>
      <c r="H347" s="11"/>
      <c r="I347" s="6"/>
      <c r="J347" s="6"/>
      <c r="K347" s="6"/>
      <c r="L347" s="6"/>
      <c r="M347" s="6"/>
      <c r="N347" s="6"/>
      <c r="O347" s="6"/>
      <c r="P347" s="6"/>
      <c r="Q347" s="6"/>
    </row>
    <row r="348" ht="19.5" customHeight="1">
      <c r="A348" s="12">
        <v>53632.0</v>
      </c>
      <c r="B348" s="16"/>
      <c r="C348" s="17"/>
      <c r="D348" s="17"/>
      <c r="E348" s="17"/>
      <c r="F348" s="15">
        <f t="shared" si="1"/>
        <v>347</v>
      </c>
      <c r="G348" s="11"/>
      <c r="H348" s="11"/>
      <c r="I348" s="6"/>
      <c r="J348" s="6"/>
      <c r="K348" s="6"/>
      <c r="L348" s="6"/>
      <c r="M348" s="6"/>
      <c r="N348" s="6"/>
      <c r="O348" s="6"/>
      <c r="P348" s="6"/>
      <c r="Q348" s="6"/>
    </row>
    <row r="349" ht="19.5" customHeight="1">
      <c r="A349" s="12">
        <v>53662.0</v>
      </c>
      <c r="B349" s="18"/>
      <c r="C349" s="19"/>
      <c r="D349" s="19"/>
      <c r="E349" s="19"/>
      <c r="F349" s="15">
        <f t="shared" si="1"/>
        <v>348</v>
      </c>
      <c r="G349" s="11"/>
      <c r="H349" s="11"/>
      <c r="I349" s="6"/>
      <c r="J349" s="6"/>
      <c r="K349" s="6"/>
      <c r="L349" s="6"/>
      <c r="M349" s="6"/>
      <c r="N349" s="6"/>
      <c r="O349" s="6"/>
      <c r="P349" s="6"/>
      <c r="Q349" s="6"/>
    </row>
    <row r="350" ht="19.5" customHeight="1">
      <c r="A350" s="12">
        <v>53693.0</v>
      </c>
      <c r="B350" s="16"/>
      <c r="C350" s="17"/>
      <c r="D350" s="17"/>
      <c r="E350" s="17"/>
      <c r="F350" s="15">
        <f t="shared" si="1"/>
        <v>349</v>
      </c>
      <c r="G350" s="11"/>
      <c r="H350" s="11"/>
      <c r="I350" s="6"/>
      <c r="J350" s="6"/>
      <c r="K350" s="6"/>
      <c r="L350" s="6"/>
      <c r="M350" s="6"/>
      <c r="N350" s="6"/>
      <c r="O350" s="6"/>
      <c r="P350" s="6"/>
      <c r="Q350" s="6"/>
    </row>
    <row r="351" ht="19.5" customHeight="1">
      <c r="A351" s="12">
        <v>53724.0</v>
      </c>
      <c r="B351" s="18"/>
      <c r="C351" s="19"/>
      <c r="D351" s="19"/>
      <c r="E351" s="19"/>
      <c r="F351" s="15">
        <f t="shared" si="1"/>
        <v>350</v>
      </c>
      <c r="G351" s="11"/>
      <c r="H351" s="11"/>
      <c r="I351" s="6"/>
      <c r="J351" s="6"/>
      <c r="K351" s="6"/>
      <c r="L351" s="6"/>
      <c r="M351" s="6"/>
      <c r="N351" s="6"/>
      <c r="O351" s="6"/>
      <c r="P351" s="6"/>
      <c r="Q351" s="6"/>
    </row>
    <row r="352" ht="19.5" customHeight="1">
      <c r="A352" s="12">
        <v>53752.0</v>
      </c>
      <c r="B352" s="16"/>
      <c r="C352" s="17"/>
      <c r="D352" s="17"/>
      <c r="E352" s="17"/>
      <c r="F352" s="15">
        <f t="shared" si="1"/>
        <v>351</v>
      </c>
      <c r="G352" s="11"/>
      <c r="H352" s="11"/>
      <c r="I352" s="6"/>
      <c r="J352" s="6"/>
      <c r="K352" s="6"/>
      <c r="L352" s="6"/>
      <c r="M352" s="6"/>
      <c r="N352" s="6"/>
      <c r="O352" s="6"/>
      <c r="P352" s="6"/>
      <c r="Q352" s="6"/>
    </row>
    <row r="353" ht="19.5" customHeight="1">
      <c r="A353" s="12">
        <v>53783.0</v>
      </c>
      <c r="B353" s="18"/>
      <c r="C353" s="19"/>
      <c r="D353" s="19"/>
      <c r="E353" s="19"/>
      <c r="F353" s="15">
        <f t="shared" si="1"/>
        <v>352</v>
      </c>
      <c r="G353" s="11"/>
      <c r="H353" s="11"/>
      <c r="I353" s="6"/>
      <c r="J353" s="6"/>
      <c r="K353" s="6"/>
      <c r="L353" s="6"/>
      <c r="M353" s="6"/>
      <c r="N353" s="6"/>
      <c r="O353" s="6"/>
      <c r="P353" s="6"/>
      <c r="Q353" s="6"/>
    </row>
    <row r="354" ht="19.5" customHeight="1">
      <c r="A354" s="12">
        <v>53813.0</v>
      </c>
      <c r="B354" s="16"/>
      <c r="C354" s="17"/>
      <c r="D354" s="17"/>
      <c r="E354" s="17"/>
      <c r="F354" s="15">
        <f t="shared" si="1"/>
        <v>353</v>
      </c>
      <c r="G354" s="11"/>
      <c r="H354" s="11"/>
      <c r="I354" s="6"/>
      <c r="J354" s="6"/>
      <c r="K354" s="6"/>
      <c r="L354" s="6"/>
      <c r="M354" s="6"/>
      <c r="N354" s="6"/>
      <c r="O354" s="6"/>
      <c r="P354" s="6"/>
      <c r="Q354" s="6"/>
    </row>
    <row r="355" ht="19.5" customHeight="1">
      <c r="A355" s="12">
        <v>53844.0</v>
      </c>
      <c r="B355" s="18"/>
      <c r="C355" s="19"/>
      <c r="D355" s="19"/>
      <c r="E355" s="19"/>
      <c r="F355" s="15">
        <f t="shared" si="1"/>
        <v>354</v>
      </c>
      <c r="G355" s="11"/>
      <c r="H355" s="11"/>
      <c r="I355" s="6"/>
      <c r="J355" s="6"/>
      <c r="K355" s="6"/>
      <c r="L355" s="6"/>
      <c r="M355" s="6"/>
      <c r="N355" s="6"/>
      <c r="O355" s="6"/>
      <c r="P355" s="6"/>
      <c r="Q355" s="6"/>
    </row>
    <row r="356" ht="19.5" customHeight="1">
      <c r="A356" s="12">
        <v>53874.0</v>
      </c>
      <c r="B356" s="16"/>
      <c r="C356" s="17"/>
      <c r="D356" s="17"/>
      <c r="E356" s="17"/>
      <c r="F356" s="15">
        <f t="shared" si="1"/>
        <v>355</v>
      </c>
      <c r="G356" s="11"/>
      <c r="H356" s="11"/>
      <c r="I356" s="6"/>
      <c r="J356" s="6"/>
      <c r="K356" s="6"/>
      <c r="L356" s="6"/>
      <c r="M356" s="6"/>
      <c r="N356" s="6"/>
      <c r="O356" s="6"/>
      <c r="P356" s="6"/>
      <c r="Q356" s="6"/>
    </row>
    <row r="357" ht="19.5" customHeight="1">
      <c r="A357" s="12">
        <v>53905.0</v>
      </c>
      <c r="B357" s="18"/>
      <c r="C357" s="19"/>
      <c r="D357" s="19"/>
      <c r="E357" s="19"/>
      <c r="F357" s="15">
        <f t="shared" si="1"/>
        <v>356</v>
      </c>
      <c r="G357" s="11"/>
      <c r="H357" s="11"/>
      <c r="I357" s="6"/>
      <c r="J357" s="6"/>
      <c r="K357" s="6"/>
      <c r="L357" s="6"/>
      <c r="M357" s="6"/>
      <c r="N357" s="6"/>
      <c r="O357" s="6"/>
      <c r="P357" s="6"/>
      <c r="Q357" s="6"/>
    </row>
    <row r="358" ht="19.5" customHeight="1">
      <c r="A358" s="12">
        <v>53936.0</v>
      </c>
      <c r="B358" s="16"/>
      <c r="C358" s="17"/>
      <c r="D358" s="17"/>
      <c r="E358" s="17"/>
      <c r="F358" s="15">
        <f t="shared" si="1"/>
        <v>357</v>
      </c>
      <c r="G358" s="11"/>
      <c r="H358" s="11"/>
      <c r="I358" s="6"/>
      <c r="J358" s="6"/>
      <c r="K358" s="6"/>
      <c r="L358" s="6"/>
      <c r="M358" s="6"/>
      <c r="N358" s="6"/>
      <c r="O358" s="6"/>
      <c r="P358" s="6"/>
      <c r="Q358" s="6"/>
    </row>
    <row r="359" ht="19.5" customHeight="1">
      <c r="A359" s="12">
        <v>53966.0</v>
      </c>
      <c r="B359" s="18"/>
      <c r="C359" s="19"/>
      <c r="D359" s="19"/>
      <c r="E359" s="19"/>
      <c r="F359" s="15">
        <f t="shared" si="1"/>
        <v>358</v>
      </c>
      <c r="G359" s="11"/>
      <c r="H359" s="11"/>
      <c r="I359" s="6"/>
      <c r="J359" s="6"/>
      <c r="K359" s="6"/>
      <c r="L359" s="6"/>
      <c r="M359" s="6"/>
      <c r="N359" s="6"/>
      <c r="O359" s="6"/>
      <c r="P359" s="6"/>
      <c r="Q359" s="6"/>
    </row>
    <row r="360" ht="19.5" customHeight="1">
      <c r="A360" s="12">
        <v>53997.0</v>
      </c>
      <c r="B360" s="16"/>
      <c r="C360" s="17"/>
      <c r="D360" s="17"/>
      <c r="E360" s="17"/>
      <c r="F360" s="15">
        <f t="shared" si="1"/>
        <v>359</v>
      </c>
      <c r="G360" s="11"/>
      <c r="H360" s="11"/>
      <c r="I360" s="6"/>
      <c r="J360" s="6"/>
      <c r="K360" s="6"/>
      <c r="L360" s="6"/>
      <c r="M360" s="6"/>
      <c r="N360" s="6"/>
      <c r="O360" s="6"/>
      <c r="P360" s="6"/>
      <c r="Q360" s="6"/>
    </row>
    <row r="361" ht="19.5" customHeight="1">
      <c r="A361" s="12">
        <v>54027.0</v>
      </c>
      <c r="B361" s="18"/>
      <c r="C361" s="19"/>
      <c r="D361" s="19"/>
      <c r="E361" s="19"/>
      <c r="F361" s="15">
        <f t="shared" si="1"/>
        <v>360</v>
      </c>
      <c r="G361" s="11"/>
      <c r="H361" s="11"/>
      <c r="I361" s="6"/>
      <c r="J361" s="6"/>
      <c r="K361" s="6"/>
      <c r="L361" s="6"/>
      <c r="M361" s="6"/>
      <c r="N361" s="6"/>
      <c r="O361" s="6"/>
      <c r="P361" s="6"/>
      <c r="Q361" s="6"/>
    </row>
    <row r="362" ht="19.5" customHeight="1">
      <c r="A362" s="12">
        <v>54058.0</v>
      </c>
      <c r="B362" s="16"/>
      <c r="C362" s="17"/>
      <c r="D362" s="17"/>
      <c r="E362" s="17"/>
      <c r="F362" s="15">
        <f t="shared" si="1"/>
        <v>361</v>
      </c>
      <c r="G362" s="11"/>
      <c r="H362" s="11"/>
      <c r="I362" s="6"/>
      <c r="J362" s="6"/>
      <c r="K362" s="6"/>
      <c r="L362" s="6"/>
      <c r="M362" s="6"/>
      <c r="N362" s="6"/>
      <c r="O362" s="6"/>
      <c r="P362" s="6"/>
      <c r="Q362" s="6"/>
    </row>
    <row r="363" ht="19.5" customHeight="1">
      <c r="A363" s="12">
        <v>54089.0</v>
      </c>
      <c r="B363" s="18"/>
      <c r="C363" s="19"/>
      <c r="D363" s="19"/>
      <c r="E363" s="19"/>
      <c r="F363" s="15">
        <f t="shared" si="1"/>
        <v>362</v>
      </c>
      <c r="G363" s="11"/>
      <c r="H363" s="11"/>
      <c r="I363" s="6"/>
      <c r="J363" s="6"/>
      <c r="K363" s="6"/>
      <c r="L363" s="6"/>
      <c r="M363" s="6"/>
      <c r="N363" s="6"/>
      <c r="O363" s="6"/>
      <c r="P363" s="6"/>
      <c r="Q363" s="6"/>
    </row>
    <row r="364" ht="19.5" customHeight="1">
      <c r="A364" s="12">
        <v>54118.0</v>
      </c>
      <c r="B364" s="16"/>
      <c r="C364" s="17"/>
      <c r="D364" s="17"/>
      <c r="E364" s="17"/>
      <c r="F364" s="15">
        <f t="shared" si="1"/>
        <v>363</v>
      </c>
      <c r="G364" s="11"/>
      <c r="H364" s="11"/>
      <c r="I364" s="6"/>
      <c r="J364" s="6"/>
      <c r="K364" s="6"/>
      <c r="L364" s="6"/>
      <c r="M364" s="6"/>
      <c r="N364" s="6"/>
      <c r="O364" s="6"/>
      <c r="P364" s="6"/>
      <c r="Q364" s="6"/>
    </row>
    <row r="365" ht="19.5" customHeight="1">
      <c r="A365" s="12">
        <v>54149.0</v>
      </c>
      <c r="B365" s="18"/>
      <c r="C365" s="19"/>
      <c r="D365" s="19"/>
      <c r="E365" s="19"/>
      <c r="F365" s="15">
        <f t="shared" si="1"/>
        <v>364</v>
      </c>
      <c r="G365" s="11"/>
      <c r="H365" s="11"/>
      <c r="I365" s="6"/>
      <c r="J365" s="6"/>
      <c r="K365" s="6"/>
      <c r="L365" s="6"/>
      <c r="M365" s="6"/>
      <c r="N365" s="6"/>
      <c r="O365" s="6"/>
      <c r="P365" s="6"/>
      <c r="Q365" s="6"/>
    </row>
    <row r="366" ht="19.5" customHeight="1">
      <c r="A366" s="12">
        <v>54179.0</v>
      </c>
      <c r="B366" s="16"/>
      <c r="C366" s="17"/>
      <c r="D366" s="17"/>
      <c r="E366" s="17"/>
      <c r="F366" s="15">
        <f t="shared" si="1"/>
        <v>365</v>
      </c>
      <c r="G366" s="11"/>
      <c r="H366" s="11"/>
      <c r="I366" s="6"/>
      <c r="J366" s="6"/>
      <c r="K366" s="6"/>
      <c r="L366" s="6"/>
      <c r="M366" s="6"/>
      <c r="N366" s="6"/>
      <c r="O366" s="6"/>
      <c r="P366" s="6"/>
      <c r="Q366" s="6"/>
    </row>
    <row r="367" ht="19.5" customHeight="1">
      <c r="A367" s="12">
        <v>54210.0</v>
      </c>
      <c r="B367" s="18"/>
      <c r="C367" s="19"/>
      <c r="D367" s="19"/>
      <c r="E367" s="19"/>
      <c r="F367" s="15">
        <f t="shared" si="1"/>
        <v>366</v>
      </c>
      <c r="G367" s="11"/>
      <c r="H367" s="11"/>
      <c r="I367" s="6"/>
      <c r="J367" s="6"/>
      <c r="K367" s="6"/>
      <c r="L367" s="6"/>
      <c r="M367" s="6"/>
      <c r="N367" s="6"/>
      <c r="O367" s="6"/>
      <c r="P367" s="6"/>
      <c r="Q367" s="6"/>
    </row>
    <row r="368" ht="19.5" customHeight="1">
      <c r="A368" s="12">
        <v>54240.0</v>
      </c>
      <c r="B368" s="16"/>
      <c r="C368" s="17"/>
      <c r="D368" s="17"/>
      <c r="E368" s="17"/>
      <c r="F368" s="15">
        <f t="shared" si="1"/>
        <v>367</v>
      </c>
      <c r="G368" s="11"/>
      <c r="H368" s="11"/>
      <c r="I368" s="6"/>
      <c r="J368" s="6"/>
      <c r="K368" s="6"/>
      <c r="L368" s="6"/>
      <c r="M368" s="6"/>
      <c r="N368" s="6"/>
      <c r="O368" s="6"/>
      <c r="P368" s="6"/>
      <c r="Q368" s="6"/>
    </row>
    <row r="369" ht="19.5" customHeight="1">
      <c r="A369" s="12">
        <v>54271.0</v>
      </c>
      <c r="B369" s="18"/>
      <c r="C369" s="19"/>
      <c r="D369" s="19"/>
      <c r="E369" s="19"/>
      <c r="F369" s="15">
        <f t="shared" si="1"/>
        <v>368</v>
      </c>
      <c r="G369" s="11"/>
      <c r="H369" s="11"/>
      <c r="I369" s="6"/>
      <c r="J369" s="6"/>
      <c r="K369" s="6"/>
      <c r="L369" s="6"/>
      <c r="M369" s="6"/>
      <c r="N369" s="6"/>
      <c r="O369" s="6"/>
      <c r="P369" s="6"/>
      <c r="Q369" s="6"/>
    </row>
    <row r="370" ht="19.5" customHeight="1">
      <c r="A370" s="12">
        <v>54302.0</v>
      </c>
      <c r="B370" s="16"/>
      <c r="C370" s="17"/>
      <c r="D370" s="17"/>
      <c r="E370" s="17"/>
      <c r="F370" s="15">
        <f t="shared" si="1"/>
        <v>369</v>
      </c>
      <c r="G370" s="11"/>
      <c r="H370" s="11"/>
      <c r="I370" s="6"/>
      <c r="J370" s="6"/>
      <c r="K370" s="6"/>
      <c r="L370" s="6"/>
      <c r="M370" s="6"/>
      <c r="N370" s="6"/>
      <c r="O370" s="6"/>
      <c r="P370" s="6"/>
      <c r="Q370" s="6"/>
    </row>
    <row r="371" ht="19.5" customHeight="1">
      <c r="A371" s="12">
        <v>54332.0</v>
      </c>
      <c r="B371" s="18"/>
      <c r="C371" s="19"/>
      <c r="D371" s="19"/>
      <c r="E371" s="19"/>
      <c r="F371" s="15">
        <f t="shared" si="1"/>
        <v>370</v>
      </c>
      <c r="G371" s="11"/>
      <c r="H371" s="11"/>
      <c r="I371" s="6"/>
      <c r="J371" s="6"/>
      <c r="K371" s="6"/>
      <c r="L371" s="6"/>
      <c r="M371" s="6"/>
      <c r="N371" s="6"/>
      <c r="O371" s="6"/>
      <c r="P371" s="6"/>
      <c r="Q371" s="6"/>
    </row>
    <row r="372" ht="19.5" customHeight="1">
      <c r="A372" s="12">
        <v>54363.0</v>
      </c>
      <c r="B372" s="16"/>
      <c r="C372" s="17"/>
      <c r="D372" s="17"/>
      <c r="E372" s="17"/>
      <c r="F372" s="15">
        <f t="shared" si="1"/>
        <v>371</v>
      </c>
      <c r="G372" s="11"/>
      <c r="H372" s="11"/>
      <c r="I372" s="6"/>
      <c r="J372" s="6"/>
      <c r="K372" s="6"/>
      <c r="L372" s="6"/>
      <c r="M372" s="6"/>
      <c r="N372" s="6"/>
      <c r="O372" s="6"/>
      <c r="P372" s="6"/>
      <c r="Q372" s="6"/>
    </row>
    <row r="373" ht="19.5" customHeight="1">
      <c r="A373" s="12">
        <v>54393.0</v>
      </c>
      <c r="B373" s="18"/>
      <c r="C373" s="19"/>
      <c r="D373" s="19"/>
      <c r="E373" s="19"/>
      <c r="F373" s="15">
        <f t="shared" si="1"/>
        <v>372</v>
      </c>
      <c r="G373" s="11"/>
      <c r="H373" s="11"/>
      <c r="I373" s="6"/>
      <c r="J373" s="6"/>
      <c r="K373" s="6"/>
      <c r="L373" s="6"/>
      <c r="M373" s="6"/>
      <c r="N373" s="6"/>
      <c r="O373" s="6"/>
      <c r="P373" s="6"/>
      <c r="Q373" s="6"/>
    </row>
    <row r="374" ht="19.5" customHeight="1">
      <c r="A374" s="12">
        <v>54424.0</v>
      </c>
      <c r="B374" s="16"/>
      <c r="C374" s="17"/>
      <c r="D374" s="17"/>
      <c r="E374" s="17"/>
      <c r="F374" s="15">
        <f t="shared" si="1"/>
        <v>373</v>
      </c>
      <c r="G374" s="11"/>
      <c r="H374" s="11"/>
      <c r="I374" s="6"/>
      <c r="J374" s="6"/>
      <c r="K374" s="6"/>
      <c r="L374" s="6"/>
      <c r="M374" s="6"/>
      <c r="N374" s="6"/>
      <c r="O374" s="6"/>
      <c r="P374" s="6"/>
      <c r="Q374" s="6"/>
    </row>
    <row r="375" ht="19.5" customHeight="1">
      <c r="A375" s="12">
        <v>54455.0</v>
      </c>
      <c r="B375" s="18"/>
      <c r="C375" s="19"/>
      <c r="D375" s="19"/>
      <c r="E375" s="19"/>
      <c r="F375" s="15">
        <f t="shared" si="1"/>
        <v>374</v>
      </c>
      <c r="G375" s="11"/>
      <c r="H375" s="11"/>
      <c r="I375" s="6"/>
      <c r="J375" s="6"/>
      <c r="K375" s="6"/>
      <c r="L375" s="6"/>
      <c r="M375" s="6"/>
      <c r="N375" s="6"/>
      <c r="O375" s="6"/>
      <c r="P375" s="6"/>
      <c r="Q375" s="6"/>
    </row>
    <row r="376" ht="19.5" customHeight="1">
      <c r="A376" s="12">
        <v>54483.0</v>
      </c>
      <c r="B376" s="16"/>
      <c r="C376" s="17"/>
      <c r="D376" s="17"/>
      <c r="E376" s="17"/>
      <c r="F376" s="15">
        <f t="shared" si="1"/>
        <v>375</v>
      </c>
      <c r="G376" s="11"/>
      <c r="H376" s="11"/>
      <c r="I376" s="6"/>
      <c r="J376" s="6"/>
      <c r="K376" s="6"/>
      <c r="L376" s="6"/>
      <c r="M376" s="6"/>
      <c r="N376" s="6"/>
      <c r="O376" s="6"/>
      <c r="P376" s="6"/>
      <c r="Q376" s="6"/>
    </row>
    <row r="377" ht="19.5" customHeight="1">
      <c r="A377" s="12">
        <v>54514.0</v>
      </c>
      <c r="B377" s="18"/>
      <c r="C377" s="19"/>
      <c r="D377" s="19"/>
      <c r="E377" s="19"/>
      <c r="F377" s="15">
        <f t="shared" si="1"/>
        <v>376</v>
      </c>
      <c r="G377" s="11"/>
      <c r="H377" s="11"/>
      <c r="I377" s="6"/>
      <c r="J377" s="6"/>
      <c r="K377" s="6"/>
      <c r="L377" s="6"/>
      <c r="M377" s="6"/>
      <c r="N377" s="6"/>
      <c r="O377" s="6"/>
      <c r="P377" s="6"/>
      <c r="Q377" s="6"/>
    </row>
    <row r="378" ht="19.5" customHeight="1">
      <c r="A378" s="12">
        <v>54544.0</v>
      </c>
      <c r="B378" s="16"/>
      <c r="C378" s="17"/>
      <c r="D378" s="17"/>
      <c r="E378" s="17"/>
      <c r="F378" s="15">
        <f t="shared" si="1"/>
        <v>377</v>
      </c>
      <c r="G378" s="11"/>
      <c r="H378" s="11"/>
      <c r="I378" s="6"/>
      <c r="J378" s="6"/>
      <c r="K378" s="6"/>
      <c r="L378" s="6"/>
      <c r="M378" s="6"/>
      <c r="N378" s="6"/>
      <c r="O378" s="6"/>
      <c r="P378" s="6"/>
      <c r="Q378" s="6"/>
    </row>
    <row r="379" ht="19.5" customHeight="1">
      <c r="A379" s="12">
        <v>54575.0</v>
      </c>
      <c r="B379" s="18"/>
      <c r="C379" s="19"/>
      <c r="D379" s="19"/>
      <c r="E379" s="19"/>
      <c r="F379" s="15">
        <f t="shared" si="1"/>
        <v>378</v>
      </c>
      <c r="G379" s="11"/>
      <c r="H379" s="11"/>
      <c r="I379" s="6"/>
      <c r="J379" s="6"/>
      <c r="K379" s="6"/>
      <c r="L379" s="6"/>
      <c r="M379" s="6"/>
      <c r="N379" s="6"/>
      <c r="O379" s="6"/>
      <c r="P379" s="6"/>
      <c r="Q379" s="6"/>
    </row>
    <row r="380" ht="19.5" customHeight="1">
      <c r="A380" s="12">
        <v>54605.0</v>
      </c>
      <c r="B380" s="16"/>
      <c r="C380" s="17"/>
      <c r="D380" s="17"/>
      <c r="E380" s="17"/>
      <c r="F380" s="15">
        <f t="shared" si="1"/>
        <v>379</v>
      </c>
      <c r="G380" s="11"/>
      <c r="H380" s="11"/>
      <c r="I380" s="6"/>
      <c r="J380" s="6"/>
      <c r="K380" s="6"/>
      <c r="L380" s="6"/>
      <c r="M380" s="6"/>
      <c r="N380" s="6"/>
      <c r="O380" s="6"/>
      <c r="P380" s="6"/>
      <c r="Q380" s="6"/>
    </row>
    <row r="381" ht="19.5" customHeight="1">
      <c r="A381" s="12">
        <v>54636.0</v>
      </c>
      <c r="B381" s="18"/>
      <c r="C381" s="19"/>
      <c r="D381" s="19"/>
      <c r="E381" s="19"/>
      <c r="F381" s="15">
        <f t="shared" si="1"/>
        <v>380</v>
      </c>
      <c r="G381" s="11"/>
      <c r="H381" s="11"/>
      <c r="I381" s="6"/>
      <c r="J381" s="6"/>
      <c r="K381" s="6"/>
      <c r="L381" s="6"/>
      <c r="M381" s="6"/>
      <c r="N381" s="6"/>
      <c r="O381" s="6"/>
      <c r="P381" s="6"/>
      <c r="Q381" s="6"/>
    </row>
    <row r="382" ht="19.5" customHeight="1">
      <c r="A382" s="12">
        <v>54667.0</v>
      </c>
      <c r="B382" s="16"/>
      <c r="C382" s="17"/>
      <c r="D382" s="17"/>
      <c r="E382" s="17"/>
      <c r="F382" s="15">
        <f t="shared" si="1"/>
        <v>381</v>
      </c>
      <c r="G382" s="11"/>
      <c r="H382" s="11"/>
      <c r="I382" s="6"/>
      <c r="J382" s="6"/>
      <c r="K382" s="6"/>
      <c r="L382" s="6"/>
      <c r="M382" s="6"/>
      <c r="N382" s="6"/>
      <c r="O382" s="6"/>
      <c r="P382" s="6"/>
      <c r="Q382" s="6"/>
    </row>
    <row r="383" ht="19.5" customHeight="1">
      <c r="A383" s="12">
        <v>54697.0</v>
      </c>
      <c r="B383" s="18"/>
      <c r="C383" s="19"/>
      <c r="D383" s="19"/>
      <c r="E383" s="19"/>
      <c r="F383" s="15">
        <f t="shared" si="1"/>
        <v>382</v>
      </c>
      <c r="G383" s="11"/>
      <c r="H383" s="11"/>
      <c r="I383" s="6"/>
      <c r="J383" s="6"/>
      <c r="K383" s="6"/>
      <c r="L383" s="6"/>
      <c r="M383" s="6"/>
      <c r="N383" s="6"/>
      <c r="O383" s="6"/>
      <c r="P383" s="6"/>
      <c r="Q383" s="6"/>
    </row>
    <row r="384" ht="19.5" customHeight="1">
      <c r="A384" s="12">
        <v>54728.0</v>
      </c>
      <c r="B384" s="16"/>
      <c r="C384" s="17"/>
      <c r="D384" s="17"/>
      <c r="E384" s="17"/>
      <c r="F384" s="15">
        <f t="shared" si="1"/>
        <v>383</v>
      </c>
      <c r="G384" s="11"/>
      <c r="H384" s="11"/>
      <c r="I384" s="6"/>
      <c r="J384" s="6"/>
      <c r="K384" s="6"/>
      <c r="L384" s="6"/>
      <c r="M384" s="6"/>
      <c r="N384" s="6"/>
      <c r="O384" s="6"/>
      <c r="P384" s="6"/>
      <c r="Q384" s="6"/>
    </row>
    <row r="385" ht="19.5" customHeight="1">
      <c r="A385" s="12">
        <v>54758.0</v>
      </c>
      <c r="B385" s="18"/>
      <c r="C385" s="19"/>
      <c r="D385" s="19"/>
      <c r="E385" s="19"/>
      <c r="F385" s="15">
        <f t="shared" si="1"/>
        <v>384</v>
      </c>
      <c r="G385" s="11"/>
      <c r="H385" s="11"/>
      <c r="I385" s="6"/>
      <c r="J385" s="6"/>
      <c r="K385" s="6"/>
      <c r="L385" s="6"/>
      <c r="M385" s="6"/>
      <c r="N385" s="6"/>
      <c r="O385" s="6"/>
      <c r="P385" s="6"/>
      <c r="Q385" s="6"/>
    </row>
    <row r="386" ht="19.5" customHeight="1">
      <c r="A386" s="12">
        <v>54789.0</v>
      </c>
      <c r="B386" s="16"/>
      <c r="C386" s="17"/>
      <c r="D386" s="17"/>
      <c r="E386" s="17"/>
      <c r="F386" s="15">
        <f t="shared" si="1"/>
        <v>385</v>
      </c>
      <c r="G386" s="11"/>
      <c r="H386" s="11"/>
      <c r="I386" s="6"/>
      <c r="J386" s="6"/>
      <c r="K386" s="6"/>
      <c r="L386" s="6"/>
      <c r="M386" s="6"/>
      <c r="N386" s="6"/>
      <c r="O386" s="6"/>
      <c r="P386" s="6"/>
      <c r="Q386" s="6"/>
    </row>
    <row r="387" ht="19.5" customHeight="1">
      <c r="A387" s="12">
        <v>54820.0</v>
      </c>
      <c r="B387" s="18"/>
      <c r="C387" s="19"/>
      <c r="D387" s="19"/>
      <c r="E387" s="19"/>
      <c r="F387" s="15">
        <f t="shared" si="1"/>
        <v>386</v>
      </c>
      <c r="G387" s="11"/>
      <c r="H387" s="11"/>
      <c r="I387" s="6"/>
      <c r="J387" s="6"/>
      <c r="K387" s="6"/>
      <c r="L387" s="6"/>
      <c r="M387" s="6"/>
      <c r="N387" s="6"/>
      <c r="O387" s="6"/>
      <c r="P387" s="6"/>
      <c r="Q387" s="6"/>
    </row>
    <row r="388" ht="19.5" customHeight="1">
      <c r="A388" s="12">
        <v>54848.0</v>
      </c>
      <c r="B388" s="16"/>
      <c r="C388" s="17"/>
      <c r="D388" s="17"/>
      <c r="E388" s="17"/>
      <c r="F388" s="15">
        <f t="shared" si="1"/>
        <v>387</v>
      </c>
      <c r="G388" s="11"/>
      <c r="H388" s="11"/>
      <c r="I388" s="6"/>
      <c r="J388" s="6"/>
      <c r="K388" s="6"/>
      <c r="L388" s="6"/>
      <c r="M388" s="6"/>
      <c r="N388" s="6"/>
      <c r="O388" s="6"/>
      <c r="P388" s="6"/>
      <c r="Q388" s="6"/>
    </row>
    <row r="389" ht="19.5" customHeight="1">
      <c r="A389" s="12">
        <v>54879.0</v>
      </c>
      <c r="B389" s="18"/>
      <c r="C389" s="19"/>
      <c r="D389" s="19"/>
      <c r="E389" s="19"/>
      <c r="F389" s="15">
        <f t="shared" si="1"/>
        <v>388</v>
      </c>
      <c r="G389" s="11"/>
      <c r="H389" s="11"/>
      <c r="I389" s="6"/>
      <c r="J389" s="6"/>
      <c r="K389" s="6"/>
      <c r="L389" s="6"/>
      <c r="M389" s="6"/>
      <c r="N389" s="6"/>
      <c r="O389" s="6"/>
      <c r="P389" s="6"/>
      <c r="Q389" s="6"/>
    </row>
    <row r="390" ht="19.5" customHeight="1">
      <c r="A390" s="12">
        <v>54909.0</v>
      </c>
      <c r="B390" s="16"/>
      <c r="C390" s="17"/>
      <c r="D390" s="17"/>
      <c r="E390" s="17"/>
      <c r="F390" s="15">
        <f t="shared" si="1"/>
        <v>389</v>
      </c>
      <c r="G390" s="11"/>
      <c r="H390" s="11"/>
      <c r="I390" s="6"/>
      <c r="J390" s="6"/>
      <c r="K390" s="6"/>
      <c r="L390" s="6"/>
      <c r="M390" s="6"/>
      <c r="N390" s="6"/>
      <c r="O390" s="6"/>
      <c r="P390" s="6"/>
      <c r="Q390" s="6"/>
    </row>
    <row r="391" ht="19.5" customHeight="1">
      <c r="A391" s="12">
        <v>54940.0</v>
      </c>
      <c r="B391" s="18"/>
      <c r="C391" s="19"/>
      <c r="D391" s="19"/>
      <c r="E391" s="19"/>
      <c r="F391" s="15">
        <f t="shared" si="1"/>
        <v>390</v>
      </c>
      <c r="G391" s="11"/>
      <c r="H391" s="11"/>
      <c r="I391" s="6"/>
      <c r="J391" s="6"/>
      <c r="K391" s="6"/>
      <c r="L391" s="6"/>
      <c r="M391" s="6"/>
      <c r="N391" s="6"/>
      <c r="O391" s="6"/>
      <c r="P391" s="6"/>
      <c r="Q391" s="6"/>
    </row>
    <row r="392" ht="19.5" customHeight="1">
      <c r="A392" s="12">
        <v>54970.0</v>
      </c>
      <c r="B392" s="16"/>
      <c r="C392" s="17"/>
      <c r="D392" s="17"/>
      <c r="E392" s="17"/>
      <c r="F392" s="15">
        <f t="shared" si="1"/>
        <v>391</v>
      </c>
      <c r="G392" s="11"/>
      <c r="H392" s="11"/>
      <c r="I392" s="6"/>
      <c r="J392" s="6"/>
      <c r="K392" s="6"/>
      <c r="L392" s="6"/>
      <c r="M392" s="6"/>
      <c r="N392" s="6"/>
      <c r="O392" s="6"/>
      <c r="P392" s="6"/>
      <c r="Q392" s="6"/>
    </row>
    <row r="393" ht="19.5" customHeight="1">
      <c r="A393" s="12">
        <v>55001.0</v>
      </c>
      <c r="B393" s="18"/>
      <c r="C393" s="19"/>
      <c r="D393" s="19"/>
      <c r="E393" s="19"/>
      <c r="F393" s="15">
        <f t="shared" si="1"/>
        <v>392</v>
      </c>
      <c r="G393" s="11"/>
      <c r="H393" s="11"/>
      <c r="I393" s="6"/>
      <c r="J393" s="6"/>
      <c r="K393" s="6"/>
      <c r="L393" s="6"/>
      <c r="M393" s="6"/>
      <c r="N393" s="6"/>
      <c r="O393" s="6"/>
      <c r="P393" s="6"/>
      <c r="Q393" s="6"/>
    </row>
    <row r="394" ht="19.5" customHeight="1">
      <c r="A394" s="12">
        <v>55032.0</v>
      </c>
      <c r="B394" s="16"/>
      <c r="C394" s="17"/>
      <c r="D394" s="17"/>
      <c r="E394" s="17"/>
      <c r="F394" s="15">
        <f t="shared" si="1"/>
        <v>393</v>
      </c>
      <c r="G394" s="11"/>
      <c r="H394" s="11"/>
      <c r="I394" s="6"/>
      <c r="J394" s="6"/>
      <c r="K394" s="6"/>
      <c r="L394" s="6"/>
      <c r="M394" s="6"/>
      <c r="N394" s="6"/>
      <c r="O394" s="6"/>
      <c r="P394" s="6"/>
      <c r="Q394" s="6"/>
    </row>
    <row r="395" ht="19.5" customHeight="1">
      <c r="A395" s="12">
        <v>55062.0</v>
      </c>
      <c r="B395" s="18"/>
      <c r="C395" s="19"/>
      <c r="D395" s="19"/>
      <c r="E395" s="19"/>
      <c r="F395" s="15">
        <f t="shared" si="1"/>
        <v>394</v>
      </c>
      <c r="G395" s="11"/>
      <c r="H395" s="11"/>
      <c r="I395" s="6"/>
      <c r="J395" s="6"/>
      <c r="K395" s="6"/>
      <c r="L395" s="6"/>
      <c r="M395" s="6"/>
      <c r="N395" s="6"/>
      <c r="O395" s="6"/>
      <c r="P395" s="6"/>
      <c r="Q395" s="6"/>
    </row>
    <row r="396" ht="19.5" customHeight="1">
      <c r="A396" s="12">
        <v>55093.0</v>
      </c>
      <c r="B396" s="16"/>
      <c r="C396" s="17"/>
      <c r="D396" s="17"/>
      <c r="E396" s="17"/>
      <c r="F396" s="15">
        <f t="shared" si="1"/>
        <v>395</v>
      </c>
      <c r="G396" s="11"/>
      <c r="H396" s="11"/>
      <c r="I396" s="6"/>
      <c r="J396" s="6"/>
      <c r="K396" s="6"/>
      <c r="L396" s="6"/>
      <c r="M396" s="6"/>
      <c r="N396" s="6"/>
      <c r="O396" s="6"/>
      <c r="P396" s="6"/>
      <c r="Q396" s="6"/>
    </row>
    <row r="397" ht="19.5" customHeight="1">
      <c r="A397" s="12">
        <v>55123.0</v>
      </c>
      <c r="B397" s="18"/>
      <c r="C397" s="19"/>
      <c r="D397" s="19"/>
      <c r="E397" s="19"/>
      <c r="F397" s="15">
        <f t="shared" si="1"/>
        <v>396</v>
      </c>
      <c r="G397" s="11"/>
      <c r="H397" s="11"/>
      <c r="I397" s="6"/>
      <c r="J397" s="6"/>
      <c r="K397" s="6"/>
      <c r="L397" s="6"/>
      <c r="M397" s="6"/>
      <c r="N397" s="6"/>
      <c r="O397" s="6"/>
      <c r="P397" s="6"/>
      <c r="Q397" s="6"/>
    </row>
    <row r="398" ht="19.5" customHeight="1">
      <c r="A398" s="12">
        <v>55154.0</v>
      </c>
      <c r="B398" s="16"/>
      <c r="C398" s="17"/>
      <c r="D398" s="17"/>
      <c r="E398" s="17"/>
      <c r="F398" s="15">
        <f t="shared" si="1"/>
        <v>397</v>
      </c>
      <c r="G398" s="11"/>
      <c r="H398" s="11"/>
      <c r="I398" s="6"/>
      <c r="J398" s="6"/>
      <c r="K398" s="6"/>
      <c r="L398" s="6"/>
      <c r="M398" s="6"/>
      <c r="N398" s="6"/>
      <c r="O398" s="6"/>
      <c r="P398" s="6"/>
      <c r="Q398" s="6"/>
    </row>
    <row r="399" ht="19.5" customHeight="1">
      <c r="A399" s="12">
        <v>55185.0</v>
      </c>
      <c r="B399" s="18"/>
      <c r="C399" s="19"/>
      <c r="D399" s="19"/>
      <c r="E399" s="19"/>
      <c r="F399" s="15">
        <f t="shared" si="1"/>
        <v>398</v>
      </c>
      <c r="G399" s="11"/>
      <c r="H399" s="11"/>
      <c r="I399" s="6"/>
      <c r="J399" s="6"/>
      <c r="K399" s="6"/>
      <c r="L399" s="6"/>
      <c r="M399" s="6"/>
      <c r="N399" s="6"/>
      <c r="O399" s="6"/>
      <c r="P399" s="6"/>
      <c r="Q399" s="6"/>
    </row>
    <row r="400" ht="19.5" customHeight="1">
      <c r="A400" s="12">
        <v>55213.0</v>
      </c>
      <c r="B400" s="16"/>
      <c r="C400" s="17"/>
      <c r="D400" s="17"/>
      <c r="E400" s="17"/>
      <c r="F400" s="15">
        <f t="shared" si="1"/>
        <v>399</v>
      </c>
      <c r="G400" s="11"/>
      <c r="H400" s="11"/>
      <c r="I400" s="6"/>
      <c r="J400" s="6"/>
      <c r="K400" s="6"/>
      <c r="L400" s="6"/>
      <c r="M400" s="6"/>
      <c r="N400" s="6"/>
      <c r="O400" s="6"/>
      <c r="P400" s="6"/>
      <c r="Q400" s="6"/>
    </row>
    <row r="401" ht="19.5" customHeight="1">
      <c r="A401" s="12">
        <v>55244.0</v>
      </c>
      <c r="B401" s="18"/>
      <c r="C401" s="19"/>
      <c r="D401" s="19"/>
      <c r="E401" s="19"/>
      <c r="F401" s="15">
        <f t="shared" si="1"/>
        <v>400</v>
      </c>
      <c r="G401" s="11"/>
      <c r="H401" s="11"/>
      <c r="I401" s="6"/>
      <c r="J401" s="6"/>
      <c r="K401" s="6"/>
      <c r="L401" s="6"/>
      <c r="M401" s="6"/>
      <c r="N401" s="6"/>
      <c r="O401" s="6"/>
      <c r="P401" s="6"/>
      <c r="Q401" s="6"/>
    </row>
    <row r="402" ht="19.5" customHeight="1">
      <c r="A402" s="12">
        <v>55274.0</v>
      </c>
      <c r="B402" s="16"/>
      <c r="C402" s="17"/>
      <c r="D402" s="17"/>
      <c r="E402" s="17"/>
      <c r="F402" s="15">
        <f t="shared" si="1"/>
        <v>401</v>
      </c>
      <c r="G402" s="11"/>
      <c r="H402" s="11"/>
      <c r="I402" s="6"/>
      <c r="J402" s="6"/>
      <c r="K402" s="6"/>
      <c r="L402" s="6"/>
      <c r="M402" s="6"/>
      <c r="N402" s="6"/>
      <c r="O402" s="6"/>
      <c r="P402" s="6"/>
      <c r="Q402" s="6"/>
    </row>
    <row r="403" ht="19.5" customHeight="1">
      <c r="A403" s="12">
        <v>55305.0</v>
      </c>
      <c r="B403" s="18"/>
      <c r="C403" s="19"/>
      <c r="D403" s="19"/>
      <c r="E403" s="19"/>
      <c r="F403" s="15">
        <f t="shared" si="1"/>
        <v>402</v>
      </c>
      <c r="G403" s="11"/>
      <c r="H403" s="11"/>
      <c r="I403" s="6"/>
      <c r="J403" s="6"/>
      <c r="K403" s="6"/>
      <c r="L403" s="6"/>
      <c r="M403" s="6"/>
      <c r="N403" s="6"/>
      <c r="O403" s="6"/>
      <c r="P403" s="6"/>
      <c r="Q403" s="6"/>
    </row>
    <row r="404" ht="19.5" customHeight="1">
      <c r="A404" s="12">
        <v>55335.0</v>
      </c>
      <c r="B404" s="16"/>
      <c r="C404" s="17"/>
      <c r="D404" s="17"/>
      <c r="E404" s="17"/>
      <c r="F404" s="15">
        <f t="shared" si="1"/>
        <v>403</v>
      </c>
      <c r="G404" s="11"/>
      <c r="H404" s="11"/>
      <c r="I404" s="6"/>
      <c r="J404" s="6"/>
      <c r="K404" s="6"/>
      <c r="L404" s="6"/>
      <c r="M404" s="6"/>
      <c r="N404" s="6"/>
      <c r="O404" s="6"/>
      <c r="P404" s="6"/>
      <c r="Q404" s="6"/>
    </row>
    <row r="405" ht="19.5" customHeight="1">
      <c r="A405" s="12">
        <v>55366.0</v>
      </c>
      <c r="B405" s="18"/>
      <c r="C405" s="19"/>
      <c r="D405" s="19"/>
      <c r="E405" s="19"/>
      <c r="F405" s="15">
        <f t="shared" si="1"/>
        <v>404</v>
      </c>
      <c r="G405" s="11"/>
      <c r="H405" s="11"/>
      <c r="I405" s="6"/>
      <c r="J405" s="6"/>
      <c r="K405" s="6"/>
      <c r="L405" s="6"/>
      <c r="M405" s="6"/>
      <c r="N405" s="6"/>
      <c r="O405" s="6"/>
      <c r="P405" s="6"/>
      <c r="Q405" s="6"/>
    </row>
    <row r="406" ht="19.5" customHeight="1">
      <c r="A406" s="12">
        <v>55397.0</v>
      </c>
      <c r="B406" s="16"/>
      <c r="C406" s="17"/>
      <c r="D406" s="17"/>
      <c r="E406" s="17"/>
      <c r="F406" s="15">
        <f t="shared" si="1"/>
        <v>405</v>
      </c>
      <c r="G406" s="11"/>
      <c r="H406" s="11"/>
      <c r="I406" s="6"/>
      <c r="J406" s="6"/>
      <c r="K406" s="6"/>
      <c r="L406" s="6"/>
      <c r="M406" s="6"/>
      <c r="N406" s="6"/>
      <c r="O406" s="6"/>
      <c r="P406" s="6"/>
      <c r="Q406" s="6"/>
    </row>
    <row r="407" ht="19.5" customHeight="1">
      <c r="A407" s="12">
        <v>55427.0</v>
      </c>
      <c r="B407" s="18"/>
      <c r="C407" s="19"/>
      <c r="D407" s="19"/>
      <c r="E407" s="19"/>
      <c r="F407" s="15">
        <f t="shared" si="1"/>
        <v>406</v>
      </c>
      <c r="G407" s="11"/>
      <c r="H407" s="11"/>
      <c r="I407" s="6"/>
      <c r="J407" s="6"/>
      <c r="K407" s="6"/>
      <c r="L407" s="6"/>
      <c r="M407" s="6"/>
      <c r="N407" s="6"/>
      <c r="O407" s="6"/>
      <c r="P407" s="6"/>
      <c r="Q407" s="6"/>
    </row>
    <row r="408" ht="19.5" customHeight="1">
      <c r="A408" s="12">
        <v>55458.0</v>
      </c>
      <c r="B408" s="16"/>
      <c r="C408" s="17"/>
      <c r="D408" s="17"/>
      <c r="E408" s="17"/>
      <c r="F408" s="15">
        <f t="shared" si="1"/>
        <v>407</v>
      </c>
      <c r="G408" s="11"/>
      <c r="H408" s="11"/>
      <c r="I408" s="6"/>
      <c r="J408" s="6"/>
      <c r="K408" s="6"/>
      <c r="L408" s="6"/>
      <c r="M408" s="6"/>
      <c r="N408" s="6"/>
      <c r="O408" s="6"/>
      <c r="P408" s="6"/>
      <c r="Q408" s="6"/>
    </row>
    <row r="409" ht="19.5" customHeight="1">
      <c r="A409" s="12">
        <v>55488.0</v>
      </c>
      <c r="B409" s="18"/>
      <c r="C409" s="19"/>
      <c r="D409" s="19"/>
      <c r="E409" s="19"/>
      <c r="F409" s="15">
        <f t="shared" si="1"/>
        <v>408</v>
      </c>
      <c r="G409" s="11"/>
      <c r="H409" s="11"/>
      <c r="I409" s="6"/>
      <c r="J409" s="6"/>
      <c r="K409" s="6"/>
      <c r="L409" s="6"/>
      <c r="M409" s="6"/>
      <c r="N409" s="6"/>
      <c r="O409" s="6"/>
      <c r="P409" s="6"/>
      <c r="Q409" s="6"/>
    </row>
    <row r="410" ht="19.5" customHeight="1">
      <c r="A410" s="12">
        <v>55519.0</v>
      </c>
      <c r="B410" s="16"/>
      <c r="C410" s="17"/>
      <c r="D410" s="17"/>
      <c r="E410" s="17"/>
      <c r="F410" s="15">
        <f t="shared" si="1"/>
        <v>409</v>
      </c>
      <c r="G410" s="11"/>
      <c r="H410" s="11"/>
      <c r="I410" s="6"/>
      <c r="J410" s="6"/>
      <c r="K410" s="6"/>
      <c r="L410" s="6"/>
      <c r="M410" s="6"/>
      <c r="N410" s="6"/>
      <c r="O410" s="6"/>
      <c r="P410" s="6"/>
      <c r="Q410" s="6"/>
    </row>
    <row r="411" ht="19.5" customHeight="1">
      <c r="A411" s="12">
        <v>55550.0</v>
      </c>
      <c r="B411" s="18"/>
      <c r="C411" s="19"/>
      <c r="D411" s="19"/>
      <c r="E411" s="19"/>
      <c r="F411" s="15">
        <f t="shared" si="1"/>
        <v>410</v>
      </c>
      <c r="G411" s="11"/>
      <c r="H411" s="11"/>
      <c r="I411" s="6"/>
      <c r="J411" s="6"/>
      <c r="K411" s="6"/>
      <c r="L411" s="6"/>
      <c r="M411" s="6"/>
      <c r="N411" s="6"/>
      <c r="O411" s="6"/>
      <c r="P411" s="6"/>
      <c r="Q411" s="6"/>
    </row>
    <row r="412" ht="19.5" customHeight="1">
      <c r="A412" s="12">
        <v>55579.0</v>
      </c>
      <c r="B412" s="16"/>
      <c r="C412" s="17"/>
      <c r="D412" s="17"/>
      <c r="E412" s="17"/>
      <c r="F412" s="15">
        <f t="shared" si="1"/>
        <v>411</v>
      </c>
      <c r="G412" s="11"/>
      <c r="H412" s="11"/>
      <c r="I412" s="6"/>
      <c r="J412" s="6"/>
      <c r="K412" s="6"/>
      <c r="L412" s="6"/>
      <c r="M412" s="6"/>
      <c r="N412" s="6"/>
      <c r="O412" s="6"/>
      <c r="P412" s="6"/>
      <c r="Q412" s="6"/>
    </row>
    <row r="413" ht="19.5" customHeight="1">
      <c r="A413" s="12">
        <v>55610.0</v>
      </c>
      <c r="B413" s="18"/>
      <c r="C413" s="19"/>
      <c r="D413" s="19"/>
      <c r="E413" s="19"/>
      <c r="F413" s="15">
        <f t="shared" si="1"/>
        <v>412</v>
      </c>
      <c r="G413" s="11"/>
      <c r="H413" s="11"/>
      <c r="I413" s="6"/>
      <c r="J413" s="6"/>
      <c r="K413" s="6"/>
      <c r="L413" s="6"/>
      <c r="M413" s="6"/>
      <c r="N413" s="6"/>
      <c r="O413" s="6"/>
      <c r="P413" s="6"/>
      <c r="Q413" s="6"/>
    </row>
    <row r="414" ht="19.5" customHeight="1">
      <c r="A414" s="12">
        <v>55640.0</v>
      </c>
      <c r="B414" s="16"/>
      <c r="C414" s="17"/>
      <c r="D414" s="17"/>
      <c r="E414" s="17"/>
      <c r="F414" s="15">
        <f t="shared" si="1"/>
        <v>413</v>
      </c>
      <c r="G414" s="11"/>
      <c r="H414" s="11"/>
      <c r="I414" s="6"/>
      <c r="J414" s="6"/>
      <c r="K414" s="6"/>
      <c r="L414" s="6"/>
      <c r="M414" s="6"/>
      <c r="N414" s="6"/>
      <c r="O414" s="6"/>
      <c r="P414" s="6"/>
      <c r="Q414" s="6"/>
    </row>
    <row r="415" ht="19.5" customHeight="1">
      <c r="A415" s="12">
        <v>55671.0</v>
      </c>
      <c r="B415" s="18"/>
      <c r="C415" s="19"/>
      <c r="D415" s="19"/>
      <c r="E415" s="19"/>
      <c r="F415" s="15">
        <f t="shared" si="1"/>
        <v>414</v>
      </c>
      <c r="G415" s="11"/>
      <c r="H415" s="11"/>
      <c r="I415" s="6"/>
      <c r="J415" s="6"/>
      <c r="K415" s="6"/>
      <c r="L415" s="6"/>
      <c r="M415" s="6"/>
      <c r="N415" s="6"/>
      <c r="O415" s="6"/>
      <c r="P415" s="6"/>
      <c r="Q415" s="6"/>
    </row>
    <row r="416" ht="19.5" customHeight="1">
      <c r="A416" s="12">
        <v>55701.0</v>
      </c>
      <c r="B416" s="16"/>
      <c r="C416" s="17"/>
      <c r="D416" s="17"/>
      <c r="E416" s="17"/>
      <c r="F416" s="15">
        <f t="shared" si="1"/>
        <v>415</v>
      </c>
      <c r="G416" s="11"/>
      <c r="H416" s="11"/>
      <c r="I416" s="6"/>
      <c r="J416" s="6"/>
      <c r="K416" s="6"/>
      <c r="L416" s="6"/>
      <c r="M416" s="6"/>
      <c r="N416" s="6"/>
      <c r="O416" s="6"/>
      <c r="P416" s="6"/>
      <c r="Q416" s="6"/>
    </row>
    <row r="417" ht="19.5" customHeight="1">
      <c r="A417" s="12">
        <v>55732.0</v>
      </c>
      <c r="B417" s="18"/>
      <c r="C417" s="19"/>
      <c r="D417" s="19"/>
      <c r="E417" s="19"/>
      <c r="F417" s="15">
        <f t="shared" si="1"/>
        <v>416</v>
      </c>
      <c r="G417" s="11"/>
      <c r="H417" s="11"/>
      <c r="I417" s="6"/>
      <c r="J417" s="6"/>
      <c r="K417" s="6"/>
      <c r="L417" s="6"/>
      <c r="M417" s="6"/>
      <c r="N417" s="6"/>
      <c r="O417" s="6"/>
      <c r="P417" s="6"/>
      <c r="Q417" s="6"/>
    </row>
    <row r="418" ht="19.5" customHeight="1">
      <c r="A418" s="12">
        <v>55763.0</v>
      </c>
      <c r="B418" s="16"/>
      <c r="C418" s="17"/>
      <c r="D418" s="17"/>
      <c r="E418" s="17"/>
      <c r="F418" s="15">
        <f t="shared" si="1"/>
        <v>417</v>
      </c>
      <c r="G418" s="11"/>
      <c r="H418" s="11"/>
      <c r="I418" s="6"/>
      <c r="J418" s="6"/>
      <c r="K418" s="6"/>
      <c r="L418" s="6"/>
      <c r="M418" s="6"/>
      <c r="N418" s="6"/>
      <c r="O418" s="6"/>
      <c r="P418" s="6"/>
      <c r="Q418" s="6"/>
    </row>
    <row r="419" ht="19.5" customHeight="1">
      <c r="A419" s="12">
        <v>55793.0</v>
      </c>
      <c r="B419" s="18"/>
      <c r="C419" s="19"/>
      <c r="D419" s="19"/>
      <c r="E419" s="19"/>
      <c r="F419" s="15">
        <f t="shared" si="1"/>
        <v>418</v>
      </c>
      <c r="G419" s="11"/>
      <c r="H419" s="11"/>
      <c r="I419" s="6"/>
      <c r="J419" s="6"/>
      <c r="K419" s="6"/>
      <c r="L419" s="6"/>
      <c r="M419" s="6"/>
      <c r="N419" s="6"/>
      <c r="O419" s="6"/>
      <c r="P419" s="6"/>
      <c r="Q419" s="6"/>
    </row>
    <row r="420" ht="19.5" customHeight="1">
      <c r="A420" s="12">
        <v>55824.0</v>
      </c>
      <c r="B420" s="16"/>
      <c r="C420" s="17"/>
      <c r="D420" s="17"/>
      <c r="E420" s="17"/>
      <c r="F420" s="15">
        <f t="shared" si="1"/>
        <v>419</v>
      </c>
      <c r="G420" s="11"/>
      <c r="H420" s="11"/>
      <c r="I420" s="6"/>
      <c r="J420" s="6"/>
      <c r="K420" s="6"/>
      <c r="L420" s="6"/>
      <c r="M420" s="6"/>
      <c r="N420" s="6"/>
      <c r="O420" s="6"/>
      <c r="P420" s="6"/>
      <c r="Q420" s="6"/>
    </row>
    <row r="421" ht="19.5" customHeight="1">
      <c r="A421" s="12">
        <v>55854.0</v>
      </c>
      <c r="B421" s="18"/>
      <c r="C421" s="19"/>
      <c r="D421" s="19"/>
      <c r="E421" s="19"/>
      <c r="F421" s="15">
        <f t="shared" si="1"/>
        <v>420</v>
      </c>
      <c r="G421" s="11"/>
      <c r="H421" s="11"/>
      <c r="I421" s="6"/>
      <c r="J421" s="6"/>
      <c r="K421" s="6"/>
      <c r="L421" s="6"/>
      <c r="M421" s="6"/>
      <c r="N421" s="6"/>
      <c r="O421" s="6"/>
      <c r="P421" s="6"/>
      <c r="Q421" s="6"/>
    </row>
    <row r="422" ht="19.5" customHeight="1">
      <c r="A422" s="12">
        <v>55885.0</v>
      </c>
      <c r="B422" s="16"/>
      <c r="C422" s="17"/>
      <c r="D422" s="17"/>
      <c r="E422" s="17"/>
      <c r="F422" s="15">
        <f t="shared" si="1"/>
        <v>421</v>
      </c>
      <c r="G422" s="11"/>
      <c r="H422" s="11"/>
      <c r="I422" s="6"/>
      <c r="J422" s="6"/>
      <c r="K422" s="6"/>
      <c r="L422" s="6"/>
      <c r="M422" s="6"/>
      <c r="N422" s="6"/>
      <c r="O422" s="6"/>
      <c r="P422" s="6"/>
      <c r="Q422" s="6"/>
    </row>
    <row r="423" ht="19.5" customHeight="1">
      <c r="A423" s="12">
        <v>55916.0</v>
      </c>
      <c r="B423" s="18"/>
      <c r="C423" s="19"/>
      <c r="D423" s="19"/>
      <c r="E423" s="19"/>
      <c r="F423" s="15">
        <f t="shared" si="1"/>
        <v>422</v>
      </c>
      <c r="G423" s="11"/>
      <c r="H423" s="11"/>
      <c r="I423" s="6"/>
      <c r="J423" s="6"/>
      <c r="K423" s="6"/>
      <c r="L423" s="6"/>
      <c r="M423" s="6"/>
      <c r="N423" s="6"/>
      <c r="O423" s="6"/>
      <c r="P423" s="6"/>
      <c r="Q423" s="6"/>
    </row>
    <row r="424" ht="19.5" customHeight="1">
      <c r="A424" s="12">
        <v>55944.0</v>
      </c>
      <c r="B424" s="16"/>
      <c r="C424" s="17"/>
      <c r="D424" s="17"/>
      <c r="E424" s="17"/>
      <c r="F424" s="15">
        <f t="shared" si="1"/>
        <v>423</v>
      </c>
      <c r="G424" s="11"/>
      <c r="H424" s="11"/>
      <c r="I424" s="6"/>
      <c r="J424" s="6"/>
      <c r="K424" s="6"/>
      <c r="L424" s="6"/>
      <c r="M424" s="6"/>
      <c r="N424" s="6"/>
      <c r="O424" s="6"/>
      <c r="P424" s="6"/>
      <c r="Q424" s="6"/>
    </row>
    <row r="425" ht="19.5" customHeight="1">
      <c r="A425" s="12">
        <v>55975.0</v>
      </c>
      <c r="B425" s="18"/>
      <c r="C425" s="19"/>
      <c r="D425" s="19"/>
      <c r="E425" s="19"/>
      <c r="F425" s="15">
        <f t="shared" si="1"/>
        <v>424</v>
      </c>
      <c r="G425" s="11"/>
      <c r="H425" s="11"/>
      <c r="I425" s="6"/>
      <c r="J425" s="6"/>
      <c r="K425" s="6"/>
      <c r="L425" s="6"/>
      <c r="M425" s="6"/>
      <c r="N425" s="6"/>
      <c r="O425" s="6"/>
      <c r="P425" s="6"/>
      <c r="Q425" s="6"/>
    </row>
    <row r="426" ht="19.5" customHeight="1">
      <c r="A426" s="12">
        <v>56005.0</v>
      </c>
      <c r="B426" s="16"/>
      <c r="C426" s="17"/>
      <c r="D426" s="17"/>
      <c r="E426" s="17"/>
      <c r="F426" s="15">
        <f t="shared" si="1"/>
        <v>425</v>
      </c>
      <c r="G426" s="11"/>
      <c r="H426" s="11"/>
      <c r="I426" s="6"/>
      <c r="J426" s="6"/>
      <c r="K426" s="6"/>
      <c r="L426" s="6"/>
      <c r="M426" s="6"/>
      <c r="N426" s="6"/>
      <c r="O426" s="6"/>
      <c r="P426" s="6"/>
      <c r="Q426" s="6"/>
    </row>
    <row r="427" ht="19.5" customHeight="1">
      <c r="A427" s="12">
        <v>56036.0</v>
      </c>
      <c r="B427" s="18"/>
      <c r="C427" s="19"/>
      <c r="D427" s="19"/>
      <c r="E427" s="19"/>
      <c r="F427" s="15">
        <f t="shared" si="1"/>
        <v>426</v>
      </c>
      <c r="G427" s="11"/>
      <c r="H427" s="11"/>
      <c r="I427" s="6"/>
      <c r="J427" s="6"/>
      <c r="K427" s="6"/>
      <c r="L427" s="6"/>
      <c r="M427" s="6"/>
      <c r="N427" s="6"/>
      <c r="O427" s="6"/>
      <c r="P427" s="6"/>
      <c r="Q427" s="6"/>
    </row>
    <row r="428" ht="19.5" customHeight="1">
      <c r="A428" s="12">
        <v>56066.0</v>
      </c>
      <c r="B428" s="16"/>
      <c r="C428" s="17"/>
      <c r="D428" s="17"/>
      <c r="E428" s="17"/>
      <c r="F428" s="15">
        <f t="shared" si="1"/>
        <v>427</v>
      </c>
      <c r="G428" s="11"/>
      <c r="H428" s="11"/>
      <c r="I428" s="6"/>
      <c r="J428" s="6"/>
      <c r="K428" s="6"/>
      <c r="L428" s="6"/>
      <c r="M428" s="6"/>
      <c r="N428" s="6"/>
      <c r="O428" s="6"/>
      <c r="P428" s="6"/>
      <c r="Q428" s="6"/>
    </row>
    <row r="429" ht="19.5" customHeight="1">
      <c r="A429" s="12">
        <v>56097.0</v>
      </c>
      <c r="B429" s="18"/>
      <c r="C429" s="19"/>
      <c r="D429" s="19"/>
      <c r="E429" s="19"/>
      <c r="F429" s="15">
        <f t="shared" si="1"/>
        <v>428</v>
      </c>
      <c r="G429" s="11"/>
      <c r="H429" s="11"/>
      <c r="I429" s="6"/>
      <c r="J429" s="6"/>
      <c r="K429" s="6"/>
      <c r="L429" s="6"/>
      <c r="M429" s="6"/>
      <c r="N429" s="6"/>
      <c r="O429" s="6"/>
      <c r="P429" s="6"/>
      <c r="Q429" s="6"/>
    </row>
    <row r="430" ht="19.5" customHeight="1">
      <c r="A430" s="12">
        <v>56128.0</v>
      </c>
      <c r="B430" s="16"/>
      <c r="C430" s="17"/>
      <c r="D430" s="17"/>
      <c r="E430" s="17"/>
      <c r="F430" s="15">
        <f t="shared" si="1"/>
        <v>429</v>
      </c>
      <c r="G430" s="11"/>
      <c r="H430" s="11"/>
      <c r="I430" s="6"/>
      <c r="J430" s="6"/>
      <c r="K430" s="6"/>
      <c r="L430" s="6"/>
      <c r="M430" s="6"/>
      <c r="N430" s="6"/>
      <c r="O430" s="6"/>
      <c r="P430" s="6"/>
      <c r="Q430" s="6"/>
    </row>
    <row r="431" ht="19.5" customHeight="1">
      <c r="A431" s="12">
        <v>56158.0</v>
      </c>
      <c r="B431" s="18"/>
      <c r="C431" s="19"/>
      <c r="D431" s="19"/>
      <c r="E431" s="19"/>
      <c r="F431" s="15">
        <f t="shared" si="1"/>
        <v>430</v>
      </c>
      <c r="G431" s="11"/>
      <c r="H431" s="11"/>
      <c r="I431" s="6"/>
      <c r="J431" s="6"/>
      <c r="K431" s="6"/>
      <c r="L431" s="6"/>
      <c r="M431" s="6"/>
      <c r="N431" s="6"/>
      <c r="O431" s="6"/>
      <c r="P431" s="6"/>
      <c r="Q431" s="6"/>
    </row>
    <row r="432" ht="19.5" customHeight="1">
      <c r="A432" s="12">
        <v>56189.0</v>
      </c>
      <c r="B432" s="16"/>
      <c r="C432" s="17"/>
      <c r="D432" s="17"/>
      <c r="E432" s="17"/>
      <c r="F432" s="15">
        <f t="shared" si="1"/>
        <v>431</v>
      </c>
      <c r="G432" s="11"/>
      <c r="H432" s="11"/>
      <c r="I432" s="6"/>
      <c r="J432" s="6"/>
      <c r="K432" s="6"/>
      <c r="L432" s="6"/>
      <c r="M432" s="6"/>
      <c r="N432" s="6"/>
      <c r="O432" s="6"/>
      <c r="P432" s="6"/>
      <c r="Q432" s="6"/>
    </row>
    <row r="433" ht="19.5" customHeight="1">
      <c r="A433" s="12">
        <v>56219.0</v>
      </c>
      <c r="B433" s="18"/>
      <c r="C433" s="19"/>
      <c r="D433" s="19"/>
      <c r="E433" s="19"/>
      <c r="F433" s="15">
        <f t="shared" si="1"/>
        <v>432</v>
      </c>
      <c r="G433" s="11"/>
      <c r="H433" s="11"/>
      <c r="I433" s="6"/>
      <c r="J433" s="6"/>
      <c r="K433" s="6"/>
      <c r="L433" s="6"/>
      <c r="M433" s="6"/>
      <c r="N433" s="6"/>
      <c r="O433" s="6"/>
      <c r="P433" s="6"/>
      <c r="Q433" s="6"/>
    </row>
    <row r="434" ht="19.5" customHeight="1">
      <c r="A434" s="12">
        <v>56250.0</v>
      </c>
      <c r="B434" s="16"/>
      <c r="C434" s="17"/>
      <c r="D434" s="17"/>
      <c r="E434" s="17"/>
      <c r="F434" s="15">
        <f t="shared" si="1"/>
        <v>433</v>
      </c>
      <c r="G434" s="11"/>
      <c r="H434" s="11"/>
      <c r="I434" s="6"/>
      <c r="J434" s="6"/>
      <c r="K434" s="6"/>
      <c r="L434" s="6"/>
      <c r="M434" s="6"/>
      <c r="N434" s="6"/>
      <c r="O434" s="6"/>
      <c r="P434" s="6"/>
      <c r="Q434" s="6"/>
    </row>
    <row r="435" ht="19.5" customHeight="1">
      <c r="A435" s="12">
        <v>56281.0</v>
      </c>
      <c r="B435" s="18"/>
      <c r="C435" s="19"/>
      <c r="D435" s="19"/>
      <c r="E435" s="19"/>
      <c r="F435" s="15">
        <f t="shared" si="1"/>
        <v>434</v>
      </c>
      <c r="G435" s="11"/>
      <c r="H435" s="11"/>
      <c r="I435" s="6"/>
      <c r="J435" s="6"/>
      <c r="K435" s="6"/>
      <c r="L435" s="6"/>
      <c r="M435" s="6"/>
      <c r="N435" s="6"/>
      <c r="O435" s="6"/>
      <c r="P435" s="6"/>
      <c r="Q435" s="6"/>
    </row>
    <row r="436" ht="19.5" customHeight="1">
      <c r="A436" s="12">
        <v>56309.0</v>
      </c>
      <c r="B436" s="16"/>
      <c r="C436" s="17"/>
      <c r="D436" s="17"/>
      <c r="E436" s="17"/>
      <c r="F436" s="15">
        <f t="shared" si="1"/>
        <v>435</v>
      </c>
      <c r="G436" s="11"/>
      <c r="H436" s="11"/>
      <c r="I436" s="6"/>
      <c r="J436" s="6"/>
      <c r="K436" s="6"/>
      <c r="L436" s="6"/>
      <c r="M436" s="6"/>
      <c r="N436" s="6"/>
      <c r="O436" s="6"/>
      <c r="P436" s="6"/>
      <c r="Q436" s="6"/>
    </row>
    <row r="437" ht="19.5" customHeight="1">
      <c r="A437" s="12">
        <v>56340.0</v>
      </c>
      <c r="B437" s="18"/>
      <c r="C437" s="19"/>
      <c r="D437" s="19"/>
      <c r="E437" s="19"/>
      <c r="F437" s="15">
        <f t="shared" si="1"/>
        <v>436</v>
      </c>
      <c r="G437" s="11"/>
      <c r="H437" s="11"/>
      <c r="I437" s="6"/>
      <c r="J437" s="6"/>
      <c r="K437" s="6"/>
      <c r="L437" s="6"/>
      <c r="M437" s="6"/>
      <c r="N437" s="6"/>
      <c r="O437" s="6"/>
      <c r="P437" s="6"/>
      <c r="Q437" s="6"/>
    </row>
    <row r="438" ht="19.5" customHeight="1">
      <c r="A438" s="12">
        <v>56370.0</v>
      </c>
      <c r="B438" s="16"/>
      <c r="C438" s="17"/>
      <c r="D438" s="17"/>
      <c r="E438" s="17"/>
      <c r="F438" s="15">
        <f t="shared" si="1"/>
        <v>437</v>
      </c>
      <c r="G438" s="11"/>
      <c r="H438" s="11"/>
      <c r="I438" s="6"/>
      <c r="J438" s="6"/>
      <c r="K438" s="6"/>
      <c r="L438" s="6"/>
      <c r="M438" s="6"/>
      <c r="N438" s="6"/>
      <c r="O438" s="6"/>
      <c r="P438" s="6"/>
      <c r="Q438" s="6"/>
    </row>
    <row r="439" ht="19.5" customHeight="1">
      <c r="A439" s="12">
        <v>56401.0</v>
      </c>
      <c r="B439" s="18"/>
      <c r="C439" s="19"/>
      <c r="D439" s="19"/>
      <c r="E439" s="19"/>
      <c r="F439" s="15">
        <f t="shared" si="1"/>
        <v>438</v>
      </c>
      <c r="G439" s="11"/>
      <c r="H439" s="11"/>
      <c r="I439" s="6"/>
      <c r="J439" s="6"/>
      <c r="K439" s="6"/>
      <c r="L439" s="6"/>
      <c r="M439" s="6"/>
      <c r="N439" s="6"/>
      <c r="O439" s="6"/>
      <c r="P439" s="6"/>
      <c r="Q439" s="6"/>
    </row>
    <row r="440" ht="19.5" customHeight="1">
      <c r="A440" s="12">
        <v>56431.0</v>
      </c>
      <c r="B440" s="16"/>
      <c r="C440" s="17"/>
      <c r="D440" s="17"/>
      <c r="E440" s="17"/>
      <c r="F440" s="15">
        <f t="shared" si="1"/>
        <v>439</v>
      </c>
      <c r="G440" s="11"/>
      <c r="H440" s="11"/>
      <c r="I440" s="6"/>
      <c r="J440" s="6"/>
      <c r="K440" s="6"/>
      <c r="L440" s="6"/>
      <c r="M440" s="6"/>
      <c r="N440" s="6"/>
      <c r="O440" s="6"/>
      <c r="P440" s="6"/>
      <c r="Q440" s="6"/>
    </row>
    <row r="441" ht="19.5" customHeight="1">
      <c r="A441" s="12">
        <v>56462.0</v>
      </c>
      <c r="B441" s="18"/>
      <c r="C441" s="19"/>
      <c r="D441" s="19"/>
      <c r="E441" s="19"/>
      <c r="F441" s="15">
        <f t="shared" si="1"/>
        <v>440</v>
      </c>
      <c r="G441" s="11"/>
      <c r="H441" s="11"/>
      <c r="I441" s="6"/>
      <c r="J441" s="6"/>
      <c r="K441" s="6"/>
      <c r="L441" s="6"/>
      <c r="M441" s="6"/>
      <c r="N441" s="6"/>
      <c r="O441" s="6"/>
      <c r="P441" s="6"/>
      <c r="Q441" s="6"/>
    </row>
    <row r="442" ht="19.5" customHeight="1">
      <c r="A442" s="12">
        <v>56493.0</v>
      </c>
      <c r="B442" s="16"/>
      <c r="C442" s="17"/>
      <c r="D442" s="17"/>
      <c r="E442" s="17"/>
      <c r="F442" s="15">
        <f t="shared" si="1"/>
        <v>441</v>
      </c>
      <c r="G442" s="11"/>
      <c r="H442" s="11"/>
      <c r="I442" s="6"/>
      <c r="J442" s="6"/>
      <c r="K442" s="6"/>
      <c r="L442" s="6"/>
      <c r="M442" s="6"/>
      <c r="N442" s="6"/>
      <c r="O442" s="6"/>
      <c r="P442" s="6"/>
      <c r="Q442" s="6"/>
    </row>
    <row r="443" ht="19.5" customHeight="1">
      <c r="A443" s="12">
        <v>56523.0</v>
      </c>
      <c r="B443" s="18"/>
      <c r="C443" s="19"/>
      <c r="D443" s="19"/>
      <c r="E443" s="19"/>
      <c r="F443" s="15">
        <f t="shared" si="1"/>
        <v>442</v>
      </c>
      <c r="G443" s="11"/>
      <c r="H443" s="11"/>
      <c r="I443" s="6"/>
      <c r="J443" s="6"/>
      <c r="K443" s="6"/>
      <c r="L443" s="6"/>
      <c r="M443" s="6"/>
      <c r="N443" s="6"/>
      <c r="O443" s="6"/>
      <c r="P443" s="6"/>
      <c r="Q443" s="6"/>
    </row>
    <row r="444" ht="19.5" customHeight="1">
      <c r="A444" s="12">
        <v>56554.0</v>
      </c>
      <c r="B444" s="16"/>
      <c r="C444" s="17"/>
      <c r="D444" s="17"/>
      <c r="E444" s="17"/>
      <c r="F444" s="15">
        <f t="shared" si="1"/>
        <v>443</v>
      </c>
      <c r="G444" s="11"/>
      <c r="H444" s="11"/>
      <c r="I444" s="6"/>
      <c r="J444" s="6"/>
      <c r="K444" s="6"/>
      <c r="L444" s="6"/>
      <c r="M444" s="6"/>
      <c r="N444" s="6"/>
      <c r="O444" s="6"/>
      <c r="P444" s="6"/>
      <c r="Q444" s="6"/>
    </row>
    <row r="445" ht="19.5" customHeight="1">
      <c r="A445" s="12">
        <v>56584.0</v>
      </c>
      <c r="B445" s="20"/>
      <c r="C445" s="21"/>
      <c r="D445" s="21"/>
      <c r="E445" s="21"/>
      <c r="F445" s="15">
        <f t="shared" si="1"/>
        <v>444</v>
      </c>
      <c r="G445" s="11"/>
      <c r="H445" s="11"/>
      <c r="I445" s="6"/>
      <c r="J445" s="6"/>
      <c r="K445" s="6"/>
      <c r="L445" s="6"/>
      <c r="M445" s="6"/>
      <c r="N445" s="6"/>
      <c r="O445" s="6"/>
      <c r="P445" s="6"/>
      <c r="Q445" s="6"/>
    </row>
    <row r="446" ht="19.5" customHeight="1">
      <c r="A446" s="22"/>
      <c r="B446" s="6"/>
      <c r="C446" s="11"/>
      <c r="D446" s="11"/>
      <c r="E446" s="11"/>
      <c r="F446" s="6"/>
      <c r="G446" s="11"/>
      <c r="H446" s="11"/>
      <c r="I446" s="6"/>
      <c r="J446" s="6"/>
      <c r="K446" s="6"/>
      <c r="L446" s="6"/>
      <c r="M446" s="6"/>
      <c r="N446" s="6"/>
      <c r="O446" s="6"/>
      <c r="P446" s="6"/>
      <c r="Q446" s="6"/>
    </row>
    <row r="447" ht="19.5" customHeight="1">
      <c r="A447" s="22"/>
      <c r="B447" s="6"/>
      <c r="C447" s="11"/>
      <c r="D447" s="11"/>
      <c r="E447" s="11"/>
      <c r="F447" s="6"/>
      <c r="G447" s="11"/>
      <c r="H447" s="11"/>
      <c r="I447" s="6"/>
      <c r="J447" s="6"/>
      <c r="K447" s="6"/>
      <c r="L447" s="6"/>
      <c r="M447" s="6"/>
      <c r="N447" s="6"/>
      <c r="O447" s="6"/>
      <c r="P447" s="6"/>
      <c r="Q447" s="6"/>
    </row>
    <row r="448" ht="19.5" customHeight="1">
      <c r="A448" s="22"/>
      <c r="B448" s="6"/>
      <c r="C448" s="11"/>
      <c r="D448" s="11"/>
      <c r="E448" s="11"/>
      <c r="F448" s="6"/>
      <c r="G448" s="11"/>
      <c r="H448" s="11"/>
      <c r="I448" s="6"/>
      <c r="J448" s="6"/>
      <c r="K448" s="6"/>
      <c r="L448" s="6"/>
      <c r="M448" s="6"/>
      <c r="N448" s="6"/>
      <c r="O448" s="6"/>
      <c r="P448" s="6"/>
      <c r="Q448" s="6"/>
    </row>
    <row r="449" ht="19.5" customHeight="1">
      <c r="A449" s="22"/>
      <c r="B449" s="6"/>
      <c r="C449" s="11"/>
      <c r="D449" s="11"/>
      <c r="E449" s="11"/>
      <c r="F449" s="6"/>
      <c r="G449" s="11"/>
      <c r="H449" s="11"/>
      <c r="I449" s="6"/>
      <c r="J449" s="6"/>
      <c r="K449" s="6"/>
      <c r="L449" s="6"/>
      <c r="M449" s="6"/>
      <c r="N449" s="6"/>
      <c r="O449" s="6"/>
      <c r="P449" s="6"/>
      <c r="Q449" s="6"/>
    </row>
    <row r="450" ht="19.5" customHeight="1">
      <c r="A450" s="22"/>
      <c r="B450" s="6"/>
      <c r="C450" s="11"/>
      <c r="D450" s="11"/>
      <c r="E450" s="11"/>
      <c r="F450" s="6"/>
      <c r="G450" s="11"/>
      <c r="H450" s="11"/>
      <c r="I450" s="6"/>
      <c r="J450" s="6"/>
      <c r="K450" s="6"/>
      <c r="L450" s="6"/>
      <c r="M450" s="6"/>
      <c r="N450" s="6"/>
      <c r="O450" s="6"/>
      <c r="P450" s="6"/>
      <c r="Q450" s="6"/>
    </row>
    <row r="451" ht="19.5" customHeight="1">
      <c r="A451" s="22"/>
      <c r="B451" s="6"/>
      <c r="C451" s="11"/>
      <c r="D451" s="11"/>
      <c r="E451" s="11"/>
      <c r="F451" s="6"/>
      <c r="G451" s="11"/>
      <c r="H451" s="11"/>
      <c r="I451" s="6"/>
      <c r="J451" s="6"/>
      <c r="K451" s="6"/>
      <c r="L451" s="6"/>
      <c r="M451" s="6"/>
      <c r="N451" s="6"/>
      <c r="O451" s="6"/>
      <c r="P451" s="6"/>
      <c r="Q451" s="6"/>
    </row>
    <row r="452" ht="19.5" customHeight="1">
      <c r="A452" s="22"/>
      <c r="B452" s="6"/>
      <c r="C452" s="11"/>
      <c r="D452" s="11"/>
      <c r="E452" s="11"/>
      <c r="F452" s="6"/>
      <c r="G452" s="11"/>
      <c r="H452" s="11"/>
      <c r="I452" s="6"/>
      <c r="J452" s="6"/>
      <c r="K452" s="6"/>
      <c r="L452" s="6"/>
      <c r="M452" s="6"/>
      <c r="N452" s="6"/>
      <c r="O452" s="6"/>
      <c r="P452" s="6"/>
      <c r="Q452" s="6"/>
    </row>
    <row r="453" ht="19.5" customHeight="1">
      <c r="A453" s="22"/>
      <c r="B453" s="6"/>
      <c r="C453" s="11"/>
      <c r="D453" s="11"/>
      <c r="E453" s="11"/>
      <c r="F453" s="6"/>
      <c r="G453" s="11"/>
      <c r="H453" s="11"/>
      <c r="I453" s="6"/>
      <c r="J453" s="6"/>
      <c r="K453" s="6"/>
      <c r="L453" s="6"/>
      <c r="M453" s="6"/>
      <c r="N453" s="6"/>
      <c r="O453" s="6"/>
      <c r="P453" s="6"/>
      <c r="Q453" s="6"/>
    </row>
    <row r="454" ht="19.5" customHeight="1">
      <c r="A454" s="22"/>
      <c r="B454" s="6"/>
      <c r="C454" s="11"/>
      <c r="D454" s="11"/>
      <c r="E454" s="11"/>
      <c r="F454" s="6"/>
      <c r="G454" s="11"/>
      <c r="H454" s="11"/>
      <c r="I454" s="6"/>
      <c r="J454" s="6"/>
      <c r="K454" s="6"/>
      <c r="L454" s="6"/>
      <c r="M454" s="6"/>
      <c r="N454" s="6"/>
      <c r="O454" s="6"/>
      <c r="P454" s="6"/>
      <c r="Q454" s="6"/>
    </row>
    <row r="455" ht="19.5" customHeight="1">
      <c r="A455" s="22"/>
      <c r="B455" s="6"/>
      <c r="C455" s="11"/>
      <c r="D455" s="11"/>
      <c r="E455" s="11"/>
      <c r="F455" s="6"/>
      <c r="G455" s="11"/>
      <c r="H455" s="11"/>
      <c r="I455" s="6"/>
      <c r="J455" s="6"/>
      <c r="K455" s="6"/>
      <c r="L455" s="6"/>
      <c r="M455" s="6"/>
      <c r="N455" s="6"/>
      <c r="O455" s="6"/>
      <c r="P455" s="6"/>
      <c r="Q455" s="6"/>
    </row>
    <row r="456" ht="19.5" customHeight="1">
      <c r="A456" s="22"/>
      <c r="B456" s="6"/>
      <c r="C456" s="11"/>
      <c r="D456" s="11"/>
      <c r="E456" s="11"/>
      <c r="F456" s="6"/>
      <c r="G456" s="11"/>
      <c r="H456" s="11"/>
      <c r="I456" s="6"/>
      <c r="J456" s="6"/>
      <c r="K456" s="6"/>
      <c r="L456" s="6"/>
      <c r="M456" s="6"/>
      <c r="N456" s="6"/>
      <c r="O456" s="6"/>
      <c r="P456" s="6"/>
      <c r="Q456" s="6"/>
    </row>
    <row r="457" ht="19.5" customHeight="1">
      <c r="A457" s="22"/>
      <c r="B457" s="6"/>
      <c r="C457" s="11"/>
      <c r="D457" s="11"/>
      <c r="E457" s="11"/>
      <c r="F457" s="6"/>
      <c r="G457" s="11"/>
      <c r="H457" s="11"/>
      <c r="I457" s="6"/>
      <c r="J457" s="6"/>
      <c r="K457" s="6"/>
      <c r="L457" s="6"/>
      <c r="M457" s="6"/>
      <c r="N457" s="6"/>
      <c r="O457" s="6"/>
      <c r="P457" s="6"/>
      <c r="Q457" s="6"/>
    </row>
    <row r="458" ht="19.5" customHeight="1">
      <c r="A458" s="22"/>
      <c r="B458" s="6"/>
      <c r="C458" s="11"/>
      <c r="D458" s="11"/>
      <c r="E458" s="11"/>
      <c r="F458" s="6"/>
      <c r="G458" s="11"/>
      <c r="H458" s="11"/>
      <c r="I458" s="6"/>
      <c r="J458" s="6"/>
      <c r="K458" s="6"/>
      <c r="L458" s="6"/>
      <c r="M458" s="6"/>
      <c r="N458" s="6"/>
      <c r="O458" s="6"/>
      <c r="P458" s="6"/>
      <c r="Q458" s="6"/>
    </row>
    <row r="459" ht="19.5" customHeight="1">
      <c r="A459" s="22"/>
      <c r="B459" s="6"/>
      <c r="C459" s="11"/>
      <c r="D459" s="11"/>
      <c r="E459" s="11"/>
      <c r="F459" s="6"/>
      <c r="G459" s="11"/>
      <c r="H459" s="11"/>
      <c r="I459" s="6"/>
      <c r="J459" s="6"/>
      <c r="K459" s="6"/>
      <c r="L459" s="6"/>
      <c r="M459" s="6"/>
      <c r="N459" s="6"/>
      <c r="O459" s="6"/>
      <c r="P459" s="6"/>
      <c r="Q459" s="6"/>
    </row>
    <row r="460" ht="19.5" customHeight="1">
      <c r="A460" s="22"/>
      <c r="B460" s="6"/>
      <c r="C460" s="11"/>
      <c r="D460" s="11"/>
      <c r="E460" s="11"/>
      <c r="F460" s="6"/>
      <c r="G460" s="11"/>
      <c r="H460" s="11"/>
      <c r="I460" s="6"/>
      <c r="J460" s="6"/>
      <c r="K460" s="6"/>
      <c r="L460" s="6"/>
      <c r="M460" s="6"/>
      <c r="N460" s="6"/>
      <c r="O460" s="6"/>
      <c r="P460" s="6"/>
      <c r="Q460" s="6"/>
    </row>
    <row r="461" ht="19.5" customHeight="1">
      <c r="A461" s="22"/>
      <c r="B461" s="6"/>
      <c r="C461" s="11"/>
      <c r="D461" s="11"/>
      <c r="E461" s="11"/>
      <c r="F461" s="6"/>
      <c r="G461" s="11"/>
      <c r="H461" s="11"/>
      <c r="I461" s="6"/>
      <c r="J461" s="6"/>
      <c r="K461" s="6"/>
      <c r="L461" s="6"/>
      <c r="M461" s="6"/>
      <c r="N461" s="6"/>
      <c r="O461" s="6"/>
      <c r="P461" s="6"/>
      <c r="Q461" s="6"/>
    </row>
    <row r="462" ht="19.5" customHeight="1">
      <c r="A462" s="22"/>
      <c r="B462" s="6"/>
      <c r="C462" s="11"/>
      <c r="D462" s="11"/>
      <c r="E462" s="11"/>
      <c r="F462" s="6"/>
      <c r="G462" s="11"/>
      <c r="H462" s="11"/>
      <c r="I462" s="6"/>
      <c r="J462" s="6"/>
      <c r="K462" s="6"/>
      <c r="L462" s="6"/>
      <c r="M462" s="6"/>
      <c r="N462" s="6"/>
      <c r="O462" s="6"/>
      <c r="P462" s="6"/>
      <c r="Q462" s="6"/>
    </row>
    <row r="463" ht="19.5" customHeight="1">
      <c r="A463" s="22"/>
      <c r="B463" s="6"/>
      <c r="C463" s="11"/>
      <c r="D463" s="11"/>
      <c r="E463" s="11"/>
      <c r="F463" s="6"/>
      <c r="G463" s="11"/>
      <c r="H463" s="11"/>
      <c r="I463" s="6"/>
      <c r="J463" s="6"/>
      <c r="K463" s="6"/>
      <c r="L463" s="6"/>
      <c r="M463" s="6"/>
      <c r="N463" s="6"/>
      <c r="O463" s="6"/>
      <c r="P463" s="6"/>
      <c r="Q463" s="6"/>
    </row>
    <row r="464" ht="19.5" customHeight="1">
      <c r="A464" s="22"/>
      <c r="B464" s="6"/>
      <c r="C464" s="11"/>
      <c r="D464" s="11"/>
      <c r="E464" s="11"/>
      <c r="F464" s="6"/>
      <c r="G464" s="11"/>
      <c r="H464" s="11"/>
      <c r="I464" s="6"/>
      <c r="J464" s="6"/>
      <c r="K464" s="6"/>
      <c r="L464" s="6"/>
      <c r="M464" s="6"/>
      <c r="N464" s="6"/>
      <c r="O464" s="6"/>
      <c r="P464" s="6"/>
      <c r="Q464" s="6"/>
    </row>
    <row r="465" ht="19.5" customHeight="1">
      <c r="A465" s="22"/>
      <c r="B465" s="6"/>
      <c r="C465" s="11"/>
      <c r="D465" s="11"/>
      <c r="E465" s="11"/>
      <c r="F465" s="6"/>
      <c r="G465" s="11"/>
      <c r="H465" s="11"/>
      <c r="I465" s="6"/>
      <c r="J465" s="6"/>
      <c r="K465" s="6"/>
      <c r="L465" s="6"/>
      <c r="M465" s="6"/>
      <c r="N465" s="6"/>
      <c r="O465" s="6"/>
      <c r="P465" s="6"/>
      <c r="Q465" s="6"/>
    </row>
    <row r="466" ht="19.5" customHeight="1">
      <c r="A466" s="22"/>
      <c r="B466" s="6"/>
      <c r="C466" s="11"/>
      <c r="D466" s="11"/>
      <c r="E466" s="11"/>
      <c r="F466" s="6"/>
      <c r="G466" s="11"/>
      <c r="H466" s="11"/>
      <c r="I466" s="6"/>
      <c r="J466" s="6"/>
      <c r="K466" s="6"/>
      <c r="L466" s="6"/>
      <c r="M466" s="6"/>
      <c r="N466" s="6"/>
      <c r="O466" s="6"/>
      <c r="P466" s="6"/>
      <c r="Q466" s="6"/>
    </row>
    <row r="467" ht="19.5" customHeight="1">
      <c r="A467" s="22"/>
      <c r="B467" s="6"/>
      <c r="C467" s="11"/>
      <c r="D467" s="11"/>
      <c r="E467" s="11"/>
      <c r="F467" s="6"/>
      <c r="G467" s="11"/>
      <c r="H467" s="11"/>
      <c r="I467" s="6"/>
      <c r="J467" s="6"/>
      <c r="K467" s="6"/>
      <c r="L467" s="6"/>
      <c r="M467" s="6"/>
      <c r="N467" s="6"/>
      <c r="O467" s="6"/>
      <c r="P467" s="6"/>
      <c r="Q467" s="6"/>
    </row>
    <row r="468" ht="19.5" customHeight="1">
      <c r="A468" s="22"/>
      <c r="B468" s="6"/>
      <c r="C468" s="11"/>
      <c r="D468" s="11"/>
      <c r="E468" s="11"/>
      <c r="F468" s="6"/>
      <c r="G468" s="11"/>
      <c r="H468" s="11"/>
      <c r="I468" s="6"/>
      <c r="J468" s="6"/>
      <c r="K468" s="6"/>
      <c r="L468" s="6"/>
      <c r="M468" s="6"/>
      <c r="N468" s="6"/>
      <c r="O468" s="6"/>
      <c r="P468" s="6"/>
      <c r="Q468" s="6"/>
    </row>
    <row r="469" ht="19.5" customHeight="1">
      <c r="A469" s="22"/>
      <c r="B469" s="6"/>
      <c r="C469" s="11"/>
      <c r="D469" s="11"/>
      <c r="E469" s="11"/>
      <c r="F469" s="6"/>
      <c r="G469" s="11"/>
      <c r="H469" s="11"/>
      <c r="I469" s="6"/>
      <c r="J469" s="6"/>
      <c r="K469" s="6"/>
      <c r="L469" s="6"/>
      <c r="M469" s="6"/>
      <c r="N469" s="6"/>
      <c r="O469" s="6"/>
      <c r="P469" s="6"/>
      <c r="Q469" s="6"/>
    </row>
    <row r="470" ht="19.5" customHeight="1">
      <c r="A470" s="22"/>
      <c r="B470" s="6"/>
      <c r="C470" s="11"/>
      <c r="D470" s="11"/>
      <c r="E470" s="11"/>
      <c r="F470" s="6"/>
      <c r="G470" s="11"/>
      <c r="H470" s="11"/>
      <c r="I470" s="6"/>
      <c r="J470" s="6"/>
      <c r="K470" s="6"/>
      <c r="L470" s="6"/>
      <c r="M470" s="6"/>
      <c r="N470" s="6"/>
      <c r="O470" s="6"/>
      <c r="P470" s="6"/>
      <c r="Q470" s="6"/>
    </row>
    <row r="471" ht="19.5" customHeight="1">
      <c r="A471" s="22"/>
      <c r="B471" s="6"/>
      <c r="C471" s="11"/>
      <c r="D471" s="11"/>
      <c r="E471" s="11"/>
      <c r="F471" s="6"/>
      <c r="G471" s="11"/>
      <c r="H471" s="11"/>
      <c r="I471" s="6"/>
      <c r="J471" s="6"/>
      <c r="K471" s="6"/>
      <c r="L471" s="6"/>
      <c r="M471" s="6"/>
      <c r="N471" s="6"/>
      <c r="O471" s="6"/>
      <c r="P471" s="6"/>
      <c r="Q471" s="6"/>
    </row>
    <row r="472" ht="19.5" customHeight="1">
      <c r="A472" s="22"/>
      <c r="B472" s="6"/>
      <c r="C472" s="11"/>
      <c r="D472" s="11"/>
      <c r="E472" s="11"/>
      <c r="F472" s="6"/>
      <c r="G472" s="11"/>
      <c r="H472" s="11"/>
      <c r="I472" s="6"/>
      <c r="J472" s="6"/>
      <c r="K472" s="6"/>
      <c r="L472" s="6"/>
      <c r="M472" s="6"/>
      <c r="N472" s="6"/>
      <c r="O472" s="6"/>
      <c r="P472" s="6"/>
      <c r="Q472" s="6"/>
    </row>
    <row r="473" ht="19.5" customHeight="1">
      <c r="A473" s="22"/>
      <c r="B473" s="6"/>
      <c r="C473" s="11"/>
      <c r="D473" s="11"/>
      <c r="E473" s="11"/>
      <c r="F473" s="6"/>
      <c r="G473" s="11"/>
      <c r="H473" s="11"/>
      <c r="I473" s="6"/>
      <c r="J473" s="6"/>
      <c r="K473" s="6"/>
      <c r="L473" s="6"/>
      <c r="M473" s="6"/>
      <c r="N473" s="6"/>
      <c r="O473" s="6"/>
      <c r="P473" s="6"/>
      <c r="Q473" s="6"/>
    </row>
    <row r="474" ht="19.5" customHeight="1">
      <c r="A474" s="22"/>
      <c r="B474" s="6"/>
      <c r="C474" s="11"/>
      <c r="D474" s="11"/>
      <c r="E474" s="11"/>
      <c r="F474" s="6"/>
      <c r="G474" s="11"/>
      <c r="H474" s="11"/>
      <c r="I474" s="6"/>
      <c r="J474" s="6"/>
      <c r="K474" s="6"/>
      <c r="L474" s="6"/>
      <c r="M474" s="6"/>
      <c r="N474" s="6"/>
      <c r="O474" s="6"/>
      <c r="P474" s="6"/>
      <c r="Q474" s="6"/>
    </row>
    <row r="475" ht="19.5" customHeight="1">
      <c r="A475" s="22"/>
      <c r="B475" s="6"/>
      <c r="C475" s="11"/>
      <c r="D475" s="11"/>
      <c r="E475" s="11"/>
      <c r="F475" s="6"/>
      <c r="G475" s="11"/>
      <c r="H475" s="11"/>
      <c r="I475" s="6"/>
      <c r="J475" s="6"/>
      <c r="K475" s="6"/>
      <c r="L475" s="6"/>
      <c r="M475" s="6"/>
      <c r="N475" s="6"/>
      <c r="O475" s="6"/>
      <c r="P475" s="6"/>
      <c r="Q475" s="6"/>
    </row>
    <row r="476" ht="19.5" customHeight="1">
      <c r="A476" s="22"/>
      <c r="B476" s="6"/>
      <c r="C476" s="11"/>
      <c r="D476" s="11"/>
      <c r="E476" s="11"/>
      <c r="F476" s="6"/>
      <c r="G476" s="11"/>
      <c r="H476" s="11"/>
      <c r="I476" s="6"/>
      <c r="J476" s="6"/>
      <c r="K476" s="6"/>
      <c r="L476" s="6"/>
      <c r="M476" s="6"/>
      <c r="N476" s="6"/>
      <c r="O476" s="6"/>
      <c r="P476" s="6"/>
      <c r="Q476" s="6"/>
    </row>
    <row r="477" ht="19.5" customHeight="1">
      <c r="A477" s="22"/>
      <c r="B477" s="6"/>
      <c r="C477" s="11"/>
      <c r="D477" s="11"/>
      <c r="E477" s="11"/>
      <c r="F477" s="6"/>
      <c r="G477" s="11"/>
      <c r="H477" s="11"/>
      <c r="I477" s="6"/>
      <c r="J477" s="6"/>
      <c r="K477" s="6"/>
      <c r="L477" s="6"/>
      <c r="M477" s="6"/>
      <c r="N477" s="6"/>
      <c r="O477" s="6"/>
      <c r="P477" s="6"/>
      <c r="Q477" s="6"/>
    </row>
    <row r="478" ht="19.5" customHeight="1">
      <c r="A478" s="22"/>
      <c r="B478" s="6"/>
      <c r="C478" s="11"/>
      <c r="D478" s="11"/>
      <c r="E478" s="11"/>
      <c r="F478" s="6"/>
      <c r="G478" s="11"/>
      <c r="H478" s="11"/>
      <c r="I478" s="6"/>
      <c r="J478" s="6"/>
      <c r="K478" s="6"/>
      <c r="L478" s="6"/>
      <c r="M478" s="6"/>
      <c r="N478" s="6"/>
      <c r="O478" s="6"/>
      <c r="P478" s="6"/>
      <c r="Q478" s="6"/>
    </row>
    <row r="479" ht="19.5" customHeight="1">
      <c r="A479" s="22"/>
      <c r="B479" s="6"/>
      <c r="C479" s="11"/>
      <c r="D479" s="11"/>
      <c r="E479" s="11"/>
      <c r="F479" s="6"/>
      <c r="G479" s="11"/>
      <c r="H479" s="11"/>
      <c r="I479" s="6"/>
      <c r="J479" s="6"/>
      <c r="K479" s="6"/>
      <c r="L479" s="6"/>
      <c r="M479" s="6"/>
      <c r="N479" s="6"/>
      <c r="O479" s="6"/>
      <c r="P479" s="6"/>
      <c r="Q479" s="6"/>
    </row>
    <row r="480" ht="19.5" customHeight="1">
      <c r="A480" s="22"/>
      <c r="B480" s="6"/>
      <c r="C480" s="11"/>
      <c r="D480" s="11"/>
      <c r="E480" s="11"/>
      <c r="F480" s="6"/>
      <c r="G480" s="11"/>
      <c r="H480" s="11"/>
      <c r="I480" s="6"/>
      <c r="J480" s="6"/>
      <c r="K480" s="6"/>
      <c r="L480" s="6"/>
      <c r="M480" s="6"/>
      <c r="N480" s="6"/>
      <c r="O480" s="6"/>
      <c r="P480" s="6"/>
      <c r="Q480" s="6"/>
    </row>
    <row r="481" ht="19.5" customHeight="1">
      <c r="A481" s="22"/>
      <c r="B481" s="6"/>
      <c r="C481" s="11"/>
      <c r="D481" s="11"/>
      <c r="E481" s="11"/>
      <c r="F481" s="6"/>
      <c r="G481" s="11"/>
      <c r="H481" s="11"/>
      <c r="I481" s="6"/>
      <c r="J481" s="6"/>
      <c r="K481" s="6"/>
      <c r="L481" s="6"/>
      <c r="M481" s="6"/>
      <c r="N481" s="6"/>
      <c r="O481" s="6"/>
      <c r="P481" s="6"/>
      <c r="Q481" s="6"/>
    </row>
    <row r="482" ht="19.5" customHeight="1">
      <c r="A482" s="22"/>
      <c r="B482" s="6"/>
      <c r="C482" s="11"/>
      <c r="D482" s="11"/>
      <c r="E482" s="11"/>
      <c r="F482" s="6"/>
      <c r="G482" s="11"/>
      <c r="H482" s="11"/>
      <c r="I482" s="6"/>
      <c r="J482" s="6"/>
      <c r="K482" s="6"/>
      <c r="L482" s="6"/>
      <c r="M482" s="6"/>
      <c r="N482" s="6"/>
      <c r="O482" s="6"/>
      <c r="P482" s="6"/>
      <c r="Q482" s="6"/>
    </row>
    <row r="483" ht="19.5" customHeight="1">
      <c r="A483" s="22"/>
      <c r="B483" s="6"/>
      <c r="C483" s="11"/>
      <c r="D483" s="11"/>
      <c r="E483" s="11"/>
      <c r="F483" s="6"/>
      <c r="G483" s="11"/>
      <c r="H483" s="11"/>
      <c r="I483" s="6"/>
      <c r="J483" s="6"/>
      <c r="K483" s="6"/>
      <c r="L483" s="6"/>
      <c r="M483" s="6"/>
      <c r="N483" s="6"/>
      <c r="O483" s="6"/>
      <c r="P483" s="6"/>
      <c r="Q483" s="6"/>
    </row>
    <row r="484" ht="19.5" customHeight="1">
      <c r="A484" s="22"/>
      <c r="B484" s="6"/>
      <c r="C484" s="11"/>
      <c r="D484" s="11"/>
      <c r="E484" s="11"/>
      <c r="F484" s="6"/>
      <c r="G484" s="11"/>
      <c r="H484" s="11"/>
      <c r="I484" s="6"/>
      <c r="J484" s="6"/>
      <c r="K484" s="6"/>
      <c r="L484" s="6"/>
      <c r="M484" s="6"/>
      <c r="N484" s="6"/>
      <c r="O484" s="6"/>
      <c r="P484" s="6"/>
      <c r="Q484" s="6"/>
    </row>
    <row r="485" ht="19.5" customHeight="1">
      <c r="A485" s="22"/>
      <c r="B485" s="6"/>
      <c r="C485" s="11"/>
      <c r="D485" s="11"/>
      <c r="E485" s="11"/>
      <c r="F485" s="6"/>
      <c r="G485" s="11"/>
      <c r="H485" s="11"/>
      <c r="I485" s="6"/>
      <c r="J485" s="6"/>
      <c r="K485" s="6"/>
      <c r="L485" s="6"/>
      <c r="M485" s="6"/>
      <c r="N485" s="6"/>
      <c r="O485" s="6"/>
      <c r="P485" s="6"/>
      <c r="Q485" s="6"/>
    </row>
    <row r="486" ht="19.5" customHeight="1">
      <c r="A486" s="22"/>
      <c r="B486" s="6"/>
      <c r="C486" s="11"/>
      <c r="D486" s="11"/>
      <c r="E486" s="11"/>
      <c r="F486" s="6"/>
      <c r="G486" s="11"/>
      <c r="H486" s="11"/>
      <c r="I486" s="6"/>
      <c r="J486" s="6"/>
      <c r="K486" s="6"/>
      <c r="L486" s="6"/>
      <c r="M486" s="6"/>
      <c r="N486" s="6"/>
      <c r="O486" s="6"/>
      <c r="P486" s="6"/>
      <c r="Q486" s="6"/>
    </row>
    <row r="487" ht="19.5" customHeight="1">
      <c r="A487" s="22"/>
      <c r="B487" s="6"/>
      <c r="C487" s="11"/>
      <c r="D487" s="11"/>
      <c r="E487" s="11"/>
      <c r="F487" s="6"/>
      <c r="G487" s="11"/>
      <c r="H487" s="11"/>
      <c r="I487" s="6"/>
      <c r="J487" s="6"/>
      <c r="K487" s="6"/>
      <c r="L487" s="6"/>
      <c r="M487" s="6"/>
      <c r="N487" s="6"/>
      <c r="O487" s="6"/>
      <c r="P487" s="6"/>
      <c r="Q487" s="6"/>
    </row>
    <row r="488" ht="19.5" customHeight="1">
      <c r="A488" s="22"/>
      <c r="B488" s="6"/>
      <c r="C488" s="11"/>
      <c r="D488" s="11"/>
      <c r="E488" s="11"/>
      <c r="F488" s="6"/>
      <c r="G488" s="11"/>
      <c r="H488" s="11"/>
      <c r="I488" s="6"/>
      <c r="J488" s="6"/>
      <c r="K488" s="6"/>
      <c r="L488" s="6"/>
      <c r="M488" s="6"/>
      <c r="N488" s="6"/>
      <c r="O488" s="6"/>
      <c r="P488" s="6"/>
      <c r="Q488" s="6"/>
    </row>
    <row r="489" ht="19.5" customHeight="1">
      <c r="A489" s="22"/>
      <c r="B489" s="6"/>
      <c r="C489" s="11"/>
      <c r="D489" s="11"/>
      <c r="E489" s="11"/>
      <c r="F489" s="6"/>
      <c r="G489" s="11"/>
      <c r="H489" s="11"/>
      <c r="I489" s="6"/>
      <c r="J489" s="6"/>
      <c r="K489" s="6"/>
      <c r="L489" s="6"/>
      <c r="M489" s="6"/>
      <c r="N489" s="6"/>
      <c r="O489" s="6"/>
      <c r="P489" s="6"/>
      <c r="Q489" s="6"/>
    </row>
    <row r="490" ht="19.5" customHeight="1">
      <c r="A490" s="22"/>
      <c r="B490" s="6"/>
      <c r="C490" s="11"/>
      <c r="D490" s="11"/>
      <c r="E490" s="11"/>
      <c r="F490" s="6"/>
      <c r="G490" s="11"/>
      <c r="H490" s="11"/>
      <c r="I490" s="6"/>
      <c r="J490" s="6"/>
      <c r="K490" s="6"/>
      <c r="L490" s="6"/>
      <c r="M490" s="6"/>
      <c r="N490" s="6"/>
      <c r="O490" s="6"/>
      <c r="P490" s="6"/>
      <c r="Q490" s="6"/>
    </row>
    <row r="491" ht="19.5" customHeight="1">
      <c r="A491" s="22"/>
      <c r="B491" s="6"/>
      <c r="C491" s="11"/>
      <c r="D491" s="11"/>
      <c r="E491" s="11"/>
      <c r="F491" s="6"/>
      <c r="G491" s="11"/>
      <c r="H491" s="11"/>
      <c r="I491" s="6"/>
      <c r="J491" s="6"/>
      <c r="K491" s="6"/>
      <c r="L491" s="6"/>
      <c r="M491" s="6"/>
      <c r="N491" s="6"/>
      <c r="O491" s="6"/>
      <c r="P491" s="6"/>
      <c r="Q491" s="6"/>
    </row>
    <row r="492" ht="19.5" customHeight="1">
      <c r="A492" s="22"/>
      <c r="B492" s="6"/>
      <c r="C492" s="11"/>
      <c r="D492" s="11"/>
      <c r="E492" s="11"/>
      <c r="F492" s="6"/>
      <c r="G492" s="11"/>
      <c r="H492" s="11"/>
      <c r="I492" s="6"/>
      <c r="J492" s="6"/>
      <c r="K492" s="6"/>
      <c r="L492" s="6"/>
      <c r="M492" s="6"/>
      <c r="N492" s="6"/>
      <c r="O492" s="6"/>
      <c r="P492" s="6"/>
      <c r="Q492" s="6"/>
    </row>
    <row r="493" ht="19.5" customHeight="1">
      <c r="A493" s="22"/>
      <c r="B493" s="6"/>
      <c r="C493" s="11"/>
      <c r="D493" s="11"/>
      <c r="E493" s="11"/>
      <c r="F493" s="6"/>
      <c r="G493" s="11"/>
      <c r="H493" s="11"/>
      <c r="I493" s="6"/>
      <c r="J493" s="6"/>
      <c r="K493" s="6"/>
      <c r="L493" s="6"/>
      <c r="M493" s="6"/>
      <c r="N493" s="6"/>
      <c r="O493" s="6"/>
      <c r="P493" s="6"/>
      <c r="Q493" s="6"/>
    </row>
    <row r="494" ht="19.5" customHeight="1">
      <c r="A494" s="22"/>
      <c r="B494" s="6"/>
      <c r="C494" s="11"/>
      <c r="D494" s="11"/>
      <c r="E494" s="11"/>
      <c r="F494" s="6"/>
      <c r="G494" s="11"/>
      <c r="H494" s="11"/>
      <c r="I494" s="6"/>
      <c r="J494" s="6"/>
      <c r="K494" s="6"/>
      <c r="L494" s="6"/>
      <c r="M494" s="6"/>
      <c r="N494" s="6"/>
      <c r="O494" s="6"/>
      <c r="P494" s="6"/>
      <c r="Q494" s="6"/>
    </row>
    <row r="495" ht="19.5" customHeight="1">
      <c r="A495" s="22"/>
      <c r="B495" s="6"/>
      <c r="C495" s="11"/>
      <c r="D495" s="11"/>
      <c r="E495" s="11"/>
      <c r="F495" s="6"/>
      <c r="G495" s="11"/>
      <c r="H495" s="11"/>
      <c r="I495" s="6"/>
      <c r="J495" s="6"/>
      <c r="K495" s="6"/>
      <c r="L495" s="6"/>
      <c r="M495" s="6"/>
      <c r="N495" s="6"/>
      <c r="O495" s="6"/>
      <c r="P495" s="6"/>
      <c r="Q495" s="6"/>
    </row>
    <row r="496" ht="19.5" customHeight="1">
      <c r="A496" s="22"/>
      <c r="B496" s="6"/>
      <c r="C496" s="11"/>
      <c r="D496" s="11"/>
      <c r="E496" s="11"/>
      <c r="F496" s="6"/>
      <c r="G496" s="11"/>
      <c r="H496" s="11"/>
      <c r="I496" s="6"/>
      <c r="J496" s="6"/>
      <c r="K496" s="6"/>
      <c r="L496" s="6"/>
      <c r="M496" s="6"/>
      <c r="N496" s="6"/>
      <c r="O496" s="6"/>
      <c r="P496" s="6"/>
      <c r="Q496" s="6"/>
    </row>
    <row r="497" ht="19.5" customHeight="1">
      <c r="A497" s="22"/>
      <c r="B497" s="6"/>
      <c r="C497" s="11"/>
      <c r="D497" s="11"/>
      <c r="E497" s="11"/>
      <c r="F497" s="6"/>
      <c r="G497" s="11"/>
      <c r="H497" s="11"/>
      <c r="I497" s="6"/>
      <c r="J497" s="6"/>
      <c r="K497" s="6"/>
      <c r="L497" s="6"/>
      <c r="M497" s="6"/>
      <c r="N497" s="6"/>
      <c r="O497" s="6"/>
      <c r="P497" s="6"/>
      <c r="Q497" s="6"/>
    </row>
    <row r="498" ht="19.5" customHeight="1">
      <c r="A498" s="22"/>
      <c r="B498" s="6"/>
      <c r="C498" s="11"/>
      <c r="D498" s="11"/>
      <c r="E498" s="11"/>
      <c r="F498" s="6"/>
      <c r="G498" s="11"/>
      <c r="H498" s="11"/>
      <c r="I498" s="6"/>
      <c r="J498" s="6"/>
      <c r="K498" s="6"/>
      <c r="L498" s="6"/>
      <c r="M498" s="6"/>
      <c r="N498" s="6"/>
      <c r="O498" s="6"/>
      <c r="P498" s="6"/>
      <c r="Q498" s="6"/>
    </row>
    <row r="499" ht="19.5" customHeight="1">
      <c r="A499" s="22"/>
      <c r="B499" s="6"/>
      <c r="C499" s="11"/>
      <c r="D499" s="11"/>
      <c r="E499" s="11"/>
      <c r="F499" s="6"/>
      <c r="G499" s="11"/>
      <c r="H499" s="11"/>
      <c r="I499" s="6"/>
      <c r="J499" s="6"/>
      <c r="K499" s="6"/>
      <c r="L499" s="6"/>
      <c r="M499" s="6"/>
      <c r="N499" s="6"/>
      <c r="O499" s="6"/>
      <c r="P499" s="6"/>
      <c r="Q499" s="6"/>
    </row>
    <row r="500" ht="19.5" customHeight="1">
      <c r="A500" s="22"/>
      <c r="B500" s="6"/>
      <c r="C500" s="11"/>
      <c r="D500" s="11"/>
      <c r="E500" s="11"/>
      <c r="F500" s="6"/>
      <c r="G500" s="11"/>
      <c r="H500" s="11"/>
      <c r="I500" s="6"/>
      <c r="J500" s="6"/>
      <c r="K500" s="6"/>
      <c r="L500" s="6"/>
      <c r="M500" s="6"/>
      <c r="N500" s="6"/>
      <c r="O500" s="6"/>
      <c r="P500" s="6"/>
      <c r="Q500" s="6"/>
    </row>
    <row r="501" ht="19.5" customHeight="1">
      <c r="A501" s="22"/>
      <c r="B501" s="6"/>
      <c r="C501" s="11"/>
      <c r="D501" s="11"/>
      <c r="E501" s="11"/>
      <c r="F501" s="6"/>
      <c r="G501" s="11"/>
      <c r="H501" s="11"/>
      <c r="I501" s="6"/>
      <c r="J501" s="6"/>
      <c r="K501" s="6"/>
      <c r="L501" s="6"/>
      <c r="M501" s="6"/>
      <c r="N501" s="6"/>
      <c r="O501" s="6"/>
      <c r="P501" s="6"/>
      <c r="Q501" s="6"/>
    </row>
    <row r="502" ht="19.5" customHeight="1">
      <c r="A502" s="22"/>
      <c r="B502" s="6"/>
      <c r="C502" s="11"/>
      <c r="D502" s="11"/>
      <c r="E502" s="11"/>
      <c r="F502" s="6"/>
      <c r="G502" s="11"/>
      <c r="H502" s="11"/>
      <c r="I502" s="6"/>
      <c r="J502" s="6"/>
      <c r="K502" s="6"/>
      <c r="L502" s="6"/>
      <c r="M502" s="6"/>
      <c r="N502" s="6"/>
      <c r="O502" s="6"/>
      <c r="P502" s="6"/>
      <c r="Q502" s="6"/>
    </row>
    <row r="503" ht="19.5" customHeight="1">
      <c r="A503" s="22"/>
      <c r="B503" s="6"/>
      <c r="C503" s="11"/>
      <c r="D503" s="11"/>
      <c r="E503" s="11"/>
      <c r="F503" s="6"/>
      <c r="G503" s="11"/>
      <c r="H503" s="11"/>
      <c r="I503" s="6"/>
      <c r="J503" s="6"/>
      <c r="K503" s="6"/>
      <c r="L503" s="6"/>
      <c r="M503" s="6"/>
      <c r="N503" s="6"/>
      <c r="O503" s="6"/>
      <c r="P503" s="6"/>
      <c r="Q503" s="6"/>
    </row>
    <row r="504" ht="19.5" customHeight="1">
      <c r="A504" s="22"/>
      <c r="B504" s="6"/>
      <c r="C504" s="11"/>
      <c r="D504" s="11"/>
      <c r="E504" s="11"/>
      <c r="F504" s="6"/>
      <c r="G504" s="11"/>
      <c r="H504" s="11"/>
      <c r="I504" s="6"/>
      <c r="J504" s="6"/>
      <c r="K504" s="6"/>
      <c r="L504" s="6"/>
      <c r="M504" s="6"/>
      <c r="N504" s="6"/>
      <c r="O504" s="6"/>
      <c r="P504" s="6"/>
      <c r="Q504" s="6"/>
    </row>
    <row r="505" ht="19.5" customHeight="1">
      <c r="A505" s="22"/>
      <c r="B505" s="6"/>
      <c r="C505" s="11"/>
      <c r="D505" s="11"/>
      <c r="E505" s="11"/>
      <c r="F505" s="6"/>
      <c r="G505" s="11"/>
      <c r="H505" s="11"/>
      <c r="I505" s="6"/>
      <c r="J505" s="6"/>
      <c r="K505" s="6"/>
      <c r="L505" s="6"/>
      <c r="M505" s="6"/>
      <c r="N505" s="6"/>
      <c r="O505" s="6"/>
      <c r="P505" s="6"/>
      <c r="Q505" s="6"/>
    </row>
    <row r="506" ht="19.5" customHeight="1">
      <c r="A506" s="22"/>
      <c r="B506" s="6"/>
      <c r="C506" s="11"/>
      <c r="D506" s="11"/>
      <c r="E506" s="11"/>
      <c r="F506" s="6"/>
      <c r="G506" s="11"/>
      <c r="H506" s="11"/>
      <c r="I506" s="6"/>
      <c r="J506" s="6"/>
      <c r="K506" s="6"/>
      <c r="L506" s="6"/>
      <c r="M506" s="6"/>
      <c r="N506" s="6"/>
      <c r="O506" s="6"/>
      <c r="P506" s="6"/>
      <c r="Q506" s="6"/>
    </row>
    <row r="507" ht="19.5" customHeight="1">
      <c r="A507" s="22"/>
      <c r="B507" s="6"/>
      <c r="C507" s="11"/>
      <c r="D507" s="11"/>
      <c r="E507" s="11"/>
      <c r="F507" s="6"/>
      <c r="G507" s="11"/>
      <c r="H507" s="11"/>
      <c r="I507" s="6"/>
      <c r="J507" s="6"/>
      <c r="K507" s="6"/>
      <c r="L507" s="6"/>
      <c r="M507" s="6"/>
      <c r="N507" s="6"/>
      <c r="O507" s="6"/>
      <c r="P507" s="6"/>
      <c r="Q507" s="6"/>
    </row>
    <row r="508" ht="19.5" customHeight="1">
      <c r="A508" s="22"/>
      <c r="B508" s="6"/>
      <c r="C508" s="11"/>
      <c r="D508" s="11"/>
      <c r="E508" s="11"/>
      <c r="F508" s="6"/>
      <c r="G508" s="11"/>
      <c r="H508" s="11"/>
      <c r="I508" s="6"/>
      <c r="J508" s="6"/>
      <c r="K508" s="6"/>
      <c r="L508" s="6"/>
      <c r="M508" s="6"/>
      <c r="N508" s="6"/>
      <c r="O508" s="6"/>
      <c r="P508" s="6"/>
      <c r="Q508" s="6"/>
    </row>
    <row r="509" ht="19.5" customHeight="1">
      <c r="A509" s="22"/>
      <c r="B509" s="6"/>
      <c r="C509" s="11"/>
      <c r="D509" s="11"/>
      <c r="E509" s="11"/>
      <c r="F509" s="6"/>
      <c r="G509" s="11"/>
      <c r="H509" s="11"/>
      <c r="I509" s="6"/>
      <c r="J509" s="6"/>
      <c r="K509" s="6"/>
      <c r="L509" s="6"/>
      <c r="M509" s="6"/>
      <c r="N509" s="6"/>
      <c r="O509" s="6"/>
      <c r="P509" s="6"/>
      <c r="Q509" s="6"/>
    </row>
    <row r="510" ht="19.5" customHeight="1">
      <c r="A510" s="22"/>
      <c r="B510" s="6"/>
      <c r="C510" s="11"/>
      <c r="D510" s="11"/>
      <c r="E510" s="11"/>
      <c r="F510" s="6"/>
      <c r="G510" s="11"/>
      <c r="H510" s="11"/>
      <c r="I510" s="6"/>
      <c r="J510" s="6"/>
      <c r="K510" s="6"/>
      <c r="L510" s="6"/>
      <c r="M510" s="6"/>
      <c r="N510" s="6"/>
      <c r="O510" s="6"/>
      <c r="P510" s="6"/>
      <c r="Q510" s="6"/>
    </row>
    <row r="511" ht="19.5" customHeight="1">
      <c r="A511" s="22"/>
      <c r="B511" s="6"/>
      <c r="C511" s="11"/>
      <c r="D511" s="11"/>
      <c r="E511" s="11"/>
      <c r="F511" s="6"/>
      <c r="G511" s="11"/>
      <c r="H511" s="11"/>
      <c r="I511" s="6"/>
      <c r="J511" s="6"/>
      <c r="K511" s="6"/>
      <c r="L511" s="6"/>
      <c r="M511" s="6"/>
      <c r="N511" s="6"/>
      <c r="O511" s="6"/>
      <c r="P511" s="6"/>
      <c r="Q511" s="6"/>
    </row>
    <row r="512" ht="19.5" customHeight="1">
      <c r="A512" s="22"/>
      <c r="B512" s="6"/>
      <c r="C512" s="11"/>
      <c r="D512" s="11"/>
      <c r="E512" s="11"/>
      <c r="F512" s="6"/>
      <c r="G512" s="11"/>
      <c r="H512" s="11"/>
      <c r="I512" s="6"/>
      <c r="J512" s="6"/>
      <c r="K512" s="6"/>
      <c r="L512" s="6"/>
      <c r="M512" s="6"/>
      <c r="N512" s="6"/>
      <c r="O512" s="6"/>
      <c r="P512" s="6"/>
      <c r="Q512" s="6"/>
    </row>
    <row r="513" ht="19.5" customHeight="1">
      <c r="A513" s="22"/>
      <c r="B513" s="6"/>
      <c r="C513" s="11"/>
      <c r="D513" s="11"/>
      <c r="E513" s="11"/>
      <c r="F513" s="6"/>
      <c r="G513" s="11"/>
      <c r="H513" s="11"/>
      <c r="I513" s="6"/>
      <c r="J513" s="6"/>
      <c r="K513" s="6"/>
      <c r="L513" s="6"/>
      <c r="M513" s="6"/>
      <c r="N513" s="6"/>
      <c r="O513" s="6"/>
      <c r="P513" s="6"/>
      <c r="Q513" s="6"/>
    </row>
    <row r="514" ht="19.5" customHeight="1">
      <c r="A514" s="22"/>
      <c r="B514" s="6"/>
      <c r="C514" s="11"/>
      <c r="D514" s="11"/>
      <c r="E514" s="11"/>
      <c r="F514" s="6"/>
      <c r="G514" s="11"/>
      <c r="H514" s="11"/>
      <c r="I514" s="6"/>
      <c r="J514" s="6"/>
      <c r="K514" s="6"/>
      <c r="L514" s="6"/>
      <c r="M514" s="6"/>
      <c r="N514" s="6"/>
      <c r="O514" s="6"/>
      <c r="P514" s="6"/>
      <c r="Q514" s="6"/>
    </row>
    <row r="515" ht="19.5" customHeight="1">
      <c r="A515" s="22"/>
      <c r="B515" s="6"/>
      <c r="C515" s="11"/>
      <c r="D515" s="11"/>
      <c r="E515" s="11"/>
      <c r="F515" s="6"/>
      <c r="G515" s="11"/>
      <c r="H515" s="11"/>
      <c r="I515" s="6"/>
      <c r="J515" s="6"/>
      <c r="K515" s="6"/>
      <c r="L515" s="6"/>
      <c r="M515" s="6"/>
      <c r="N515" s="6"/>
      <c r="O515" s="6"/>
      <c r="P515" s="6"/>
      <c r="Q515" s="6"/>
    </row>
    <row r="516" ht="19.5" customHeight="1">
      <c r="A516" s="22"/>
      <c r="B516" s="6"/>
      <c r="C516" s="11"/>
      <c r="D516" s="11"/>
      <c r="E516" s="11"/>
      <c r="F516" s="6"/>
      <c r="G516" s="11"/>
      <c r="H516" s="11"/>
      <c r="I516" s="6"/>
      <c r="J516" s="6"/>
      <c r="K516" s="6"/>
      <c r="L516" s="6"/>
      <c r="M516" s="6"/>
      <c r="N516" s="6"/>
      <c r="O516" s="6"/>
      <c r="P516" s="6"/>
      <c r="Q516" s="6"/>
    </row>
    <row r="517" ht="19.5" customHeight="1">
      <c r="A517" s="22"/>
      <c r="B517" s="6"/>
      <c r="C517" s="11"/>
      <c r="D517" s="11"/>
      <c r="E517" s="11"/>
      <c r="F517" s="6"/>
      <c r="G517" s="11"/>
      <c r="H517" s="11"/>
      <c r="I517" s="6"/>
      <c r="J517" s="6"/>
      <c r="K517" s="6"/>
      <c r="L517" s="6"/>
      <c r="M517" s="6"/>
      <c r="N517" s="6"/>
      <c r="O517" s="6"/>
      <c r="P517" s="6"/>
      <c r="Q517" s="6"/>
    </row>
    <row r="518" ht="19.5" customHeight="1">
      <c r="A518" s="22"/>
      <c r="B518" s="6"/>
      <c r="C518" s="11"/>
      <c r="D518" s="11"/>
      <c r="E518" s="11"/>
      <c r="F518" s="6"/>
      <c r="G518" s="11"/>
      <c r="H518" s="11"/>
      <c r="I518" s="6"/>
      <c r="J518" s="6"/>
      <c r="K518" s="6"/>
      <c r="L518" s="6"/>
      <c r="M518" s="6"/>
      <c r="N518" s="6"/>
      <c r="O518" s="6"/>
      <c r="P518" s="6"/>
      <c r="Q518" s="6"/>
    </row>
    <row r="519" ht="19.5" customHeight="1">
      <c r="A519" s="22"/>
      <c r="B519" s="6"/>
      <c r="C519" s="11"/>
      <c r="D519" s="11"/>
      <c r="E519" s="11"/>
      <c r="F519" s="6"/>
      <c r="G519" s="11"/>
      <c r="H519" s="11"/>
      <c r="I519" s="6"/>
      <c r="J519" s="6"/>
      <c r="K519" s="6"/>
      <c r="L519" s="6"/>
      <c r="M519" s="6"/>
      <c r="N519" s="6"/>
      <c r="O519" s="6"/>
      <c r="P519" s="6"/>
      <c r="Q519" s="6"/>
    </row>
    <row r="520" ht="19.5" customHeight="1">
      <c r="A520" s="22"/>
      <c r="B520" s="6"/>
      <c r="C520" s="11"/>
      <c r="D520" s="11"/>
      <c r="E520" s="11"/>
      <c r="F520" s="6"/>
      <c r="G520" s="11"/>
      <c r="H520" s="11"/>
      <c r="I520" s="6"/>
      <c r="J520" s="6"/>
      <c r="K520" s="6"/>
      <c r="L520" s="6"/>
      <c r="M520" s="6"/>
      <c r="N520" s="6"/>
      <c r="O520" s="6"/>
      <c r="P520" s="6"/>
      <c r="Q520" s="6"/>
    </row>
    <row r="521" ht="19.5" customHeight="1">
      <c r="A521" s="22"/>
      <c r="B521" s="6"/>
      <c r="C521" s="11"/>
      <c r="D521" s="11"/>
      <c r="E521" s="11"/>
      <c r="F521" s="6"/>
      <c r="G521" s="11"/>
      <c r="H521" s="11"/>
      <c r="I521" s="6"/>
      <c r="J521" s="6"/>
      <c r="K521" s="6"/>
      <c r="L521" s="6"/>
      <c r="M521" s="6"/>
      <c r="N521" s="6"/>
      <c r="O521" s="6"/>
      <c r="P521" s="6"/>
      <c r="Q521" s="6"/>
    </row>
    <row r="522" ht="19.5" customHeight="1">
      <c r="A522" s="22"/>
      <c r="B522" s="6"/>
      <c r="C522" s="11"/>
      <c r="D522" s="11"/>
      <c r="E522" s="11"/>
      <c r="F522" s="6"/>
      <c r="G522" s="11"/>
      <c r="H522" s="11"/>
      <c r="I522" s="6"/>
      <c r="J522" s="6"/>
      <c r="K522" s="6"/>
      <c r="L522" s="6"/>
      <c r="M522" s="6"/>
      <c r="N522" s="6"/>
      <c r="O522" s="6"/>
      <c r="P522" s="6"/>
      <c r="Q522" s="6"/>
    </row>
    <row r="523" ht="19.5" customHeight="1">
      <c r="A523" s="22"/>
      <c r="B523" s="6"/>
      <c r="C523" s="11"/>
      <c r="D523" s="11"/>
      <c r="E523" s="11"/>
      <c r="F523" s="6"/>
      <c r="G523" s="11"/>
      <c r="H523" s="11"/>
      <c r="I523" s="6"/>
      <c r="J523" s="6"/>
      <c r="K523" s="6"/>
      <c r="L523" s="6"/>
      <c r="M523" s="6"/>
      <c r="N523" s="6"/>
      <c r="O523" s="6"/>
      <c r="P523" s="6"/>
      <c r="Q523" s="6"/>
    </row>
    <row r="524" ht="19.5" customHeight="1">
      <c r="A524" s="22"/>
      <c r="B524" s="6"/>
      <c r="C524" s="11"/>
      <c r="D524" s="11"/>
      <c r="E524" s="11"/>
      <c r="F524" s="6"/>
      <c r="G524" s="11"/>
      <c r="H524" s="11"/>
      <c r="I524" s="6"/>
      <c r="J524" s="6"/>
      <c r="K524" s="6"/>
      <c r="L524" s="6"/>
      <c r="M524" s="6"/>
      <c r="N524" s="6"/>
      <c r="O524" s="6"/>
      <c r="P524" s="6"/>
      <c r="Q524" s="6"/>
    </row>
    <row r="525" ht="19.5" customHeight="1">
      <c r="A525" s="22"/>
      <c r="B525" s="6"/>
      <c r="C525" s="11"/>
      <c r="D525" s="11"/>
      <c r="E525" s="11"/>
      <c r="F525" s="6"/>
      <c r="G525" s="11"/>
      <c r="H525" s="11"/>
      <c r="I525" s="6"/>
      <c r="J525" s="6"/>
      <c r="K525" s="6"/>
      <c r="L525" s="6"/>
      <c r="M525" s="6"/>
      <c r="N525" s="6"/>
      <c r="O525" s="6"/>
      <c r="P525" s="6"/>
      <c r="Q525" s="6"/>
    </row>
    <row r="526" ht="19.5" customHeight="1">
      <c r="A526" s="22"/>
      <c r="B526" s="6"/>
      <c r="C526" s="11"/>
      <c r="D526" s="11"/>
      <c r="E526" s="11"/>
      <c r="F526" s="6"/>
      <c r="G526" s="11"/>
      <c r="H526" s="11"/>
      <c r="I526" s="6"/>
      <c r="J526" s="6"/>
      <c r="K526" s="6"/>
      <c r="L526" s="6"/>
      <c r="M526" s="6"/>
      <c r="N526" s="6"/>
      <c r="O526" s="6"/>
      <c r="P526" s="6"/>
      <c r="Q526" s="6"/>
    </row>
    <row r="527" ht="19.5" customHeight="1">
      <c r="A527" s="22"/>
      <c r="B527" s="6"/>
      <c r="C527" s="11"/>
      <c r="D527" s="11"/>
      <c r="E527" s="11"/>
      <c r="F527" s="6"/>
      <c r="G527" s="11"/>
      <c r="H527" s="11"/>
      <c r="I527" s="6"/>
      <c r="J527" s="6"/>
      <c r="K527" s="6"/>
      <c r="L527" s="6"/>
      <c r="M527" s="6"/>
      <c r="N527" s="6"/>
      <c r="O527" s="6"/>
      <c r="P527" s="6"/>
      <c r="Q527" s="6"/>
    </row>
    <row r="528" ht="19.5" customHeight="1">
      <c r="A528" s="22"/>
      <c r="B528" s="6"/>
      <c r="C528" s="11"/>
      <c r="D528" s="11"/>
      <c r="E528" s="11"/>
      <c r="F528" s="6"/>
      <c r="G528" s="11"/>
      <c r="H528" s="11"/>
      <c r="I528" s="6"/>
      <c r="J528" s="6"/>
      <c r="K528" s="6"/>
      <c r="L528" s="6"/>
      <c r="M528" s="6"/>
      <c r="N528" s="6"/>
      <c r="O528" s="6"/>
      <c r="P528" s="6"/>
      <c r="Q528" s="6"/>
    </row>
    <row r="529" ht="19.5" customHeight="1">
      <c r="A529" s="22"/>
      <c r="B529" s="6"/>
      <c r="C529" s="11"/>
      <c r="D529" s="11"/>
      <c r="E529" s="11"/>
      <c r="F529" s="6"/>
      <c r="G529" s="11"/>
      <c r="H529" s="11"/>
      <c r="I529" s="6"/>
      <c r="J529" s="6"/>
      <c r="K529" s="6"/>
      <c r="L529" s="6"/>
      <c r="M529" s="6"/>
      <c r="N529" s="6"/>
      <c r="O529" s="6"/>
      <c r="P529" s="6"/>
      <c r="Q529" s="6"/>
    </row>
    <row r="530" ht="19.5" customHeight="1">
      <c r="A530" s="22"/>
      <c r="B530" s="6"/>
      <c r="C530" s="11"/>
      <c r="D530" s="11"/>
      <c r="E530" s="11"/>
      <c r="F530" s="6"/>
      <c r="G530" s="11"/>
      <c r="H530" s="11"/>
      <c r="I530" s="6"/>
      <c r="J530" s="6"/>
      <c r="K530" s="6"/>
      <c r="L530" s="6"/>
      <c r="M530" s="6"/>
      <c r="N530" s="6"/>
      <c r="O530" s="6"/>
      <c r="P530" s="6"/>
      <c r="Q530" s="6"/>
    </row>
    <row r="531" ht="19.5" customHeight="1">
      <c r="A531" s="22"/>
      <c r="B531" s="6"/>
      <c r="C531" s="11"/>
      <c r="D531" s="11"/>
      <c r="E531" s="11"/>
      <c r="F531" s="6"/>
      <c r="G531" s="11"/>
      <c r="H531" s="11"/>
      <c r="I531" s="6"/>
      <c r="J531" s="6"/>
      <c r="K531" s="6"/>
      <c r="L531" s="6"/>
      <c r="M531" s="6"/>
      <c r="N531" s="6"/>
      <c r="O531" s="6"/>
      <c r="P531" s="6"/>
      <c r="Q531" s="6"/>
    </row>
    <row r="532" ht="19.5" customHeight="1">
      <c r="A532" s="22"/>
      <c r="B532" s="6"/>
      <c r="C532" s="11"/>
      <c r="D532" s="11"/>
      <c r="E532" s="11"/>
      <c r="F532" s="6"/>
      <c r="G532" s="11"/>
      <c r="H532" s="11"/>
      <c r="I532" s="6"/>
      <c r="J532" s="6"/>
      <c r="K532" s="6"/>
      <c r="L532" s="6"/>
      <c r="M532" s="6"/>
      <c r="N532" s="6"/>
      <c r="O532" s="6"/>
      <c r="P532" s="6"/>
      <c r="Q532" s="6"/>
    </row>
    <row r="533" ht="19.5" customHeight="1">
      <c r="A533" s="22"/>
      <c r="B533" s="6"/>
      <c r="C533" s="11"/>
      <c r="D533" s="11"/>
      <c r="E533" s="11"/>
      <c r="F533" s="6"/>
      <c r="G533" s="11"/>
      <c r="H533" s="11"/>
      <c r="I533" s="6"/>
      <c r="J533" s="6"/>
      <c r="K533" s="6"/>
      <c r="L533" s="6"/>
      <c r="M533" s="6"/>
      <c r="N533" s="6"/>
      <c r="O533" s="6"/>
      <c r="P533" s="6"/>
      <c r="Q533" s="6"/>
    </row>
    <row r="534" ht="19.5" customHeight="1">
      <c r="A534" s="22"/>
      <c r="B534" s="6"/>
      <c r="C534" s="11"/>
      <c r="D534" s="11"/>
      <c r="E534" s="11"/>
      <c r="F534" s="6"/>
      <c r="G534" s="11"/>
      <c r="H534" s="11"/>
      <c r="I534" s="6"/>
      <c r="J534" s="6"/>
      <c r="K534" s="6"/>
      <c r="L534" s="6"/>
      <c r="M534" s="6"/>
      <c r="N534" s="6"/>
      <c r="O534" s="6"/>
      <c r="P534" s="6"/>
      <c r="Q534" s="6"/>
    </row>
    <row r="535" ht="19.5" customHeight="1">
      <c r="A535" s="22"/>
      <c r="B535" s="6"/>
      <c r="C535" s="11"/>
      <c r="D535" s="11"/>
      <c r="E535" s="11"/>
      <c r="F535" s="6"/>
      <c r="G535" s="11"/>
      <c r="H535" s="11"/>
      <c r="I535" s="6"/>
      <c r="J535" s="6"/>
      <c r="K535" s="6"/>
      <c r="L535" s="6"/>
      <c r="M535" s="6"/>
      <c r="N535" s="6"/>
      <c r="O535" s="6"/>
      <c r="P535" s="6"/>
      <c r="Q535" s="6"/>
    </row>
    <row r="536" ht="19.5" customHeight="1">
      <c r="A536" s="22"/>
      <c r="B536" s="6"/>
      <c r="C536" s="11"/>
      <c r="D536" s="11"/>
      <c r="E536" s="11"/>
      <c r="F536" s="6"/>
      <c r="G536" s="11"/>
      <c r="H536" s="11"/>
      <c r="I536" s="6"/>
      <c r="J536" s="6"/>
      <c r="K536" s="6"/>
      <c r="L536" s="6"/>
      <c r="M536" s="6"/>
      <c r="N536" s="6"/>
      <c r="O536" s="6"/>
      <c r="P536" s="6"/>
      <c r="Q536" s="6"/>
    </row>
    <row r="537" ht="19.5" customHeight="1">
      <c r="A537" s="22"/>
      <c r="B537" s="6"/>
      <c r="C537" s="11"/>
      <c r="D537" s="11"/>
      <c r="E537" s="11"/>
      <c r="F537" s="6"/>
      <c r="G537" s="11"/>
      <c r="H537" s="11"/>
      <c r="I537" s="6"/>
      <c r="J537" s="6"/>
      <c r="K537" s="6"/>
      <c r="L537" s="6"/>
      <c r="M537" s="6"/>
      <c r="N537" s="6"/>
      <c r="O537" s="6"/>
      <c r="P537" s="6"/>
      <c r="Q537" s="6"/>
    </row>
    <row r="538" ht="19.5" customHeight="1">
      <c r="A538" s="22"/>
      <c r="B538" s="6"/>
      <c r="C538" s="11"/>
      <c r="D538" s="11"/>
      <c r="E538" s="11"/>
      <c r="F538" s="6"/>
      <c r="G538" s="11"/>
      <c r="H538" s="11"/>
      <c r="I538" s="6"/>
      <c r="J538" s="6"/>
      <c r="K538" s="6"/>
      <c r="L538" s="6"/>
      <c r="M538" s="6"/>
      <c r="N538" s="6"/>
      <c r="O538" s="6"/>
      <c r="P538" s="6"/>
      <c r="Q538" s="6"/>
    </row>
    <row r="539" ht="19.5" customHeight="1">
      <c r="A539" s="22"/>
      <c r="B539" s="6"/>
      <c r="C539" s="11"/>
      <c r="D539" s="11"/>
      <c r="E539" s="11"/>
      <c r="F539" s="6"/>
      <c r="G539" s="11"/>
      <c r="H539" s="11"/>
      <c r="I539" s="6"/>
      <c r="J539" s="6"/>
      <c r="K539" s="6"/>
      <c r="L539" s="6"/>
      <c r="M539" s="6"/>
      <c r="N539" s="6"/>
      <c r="O539" s="6"/>
      <c r="P539" s="6"/>
      <c r="Q539" s="6"/>
    </row>
    <row r="540" ht="19.5" customHeight="1">
      <c r="A540" s="22"/>
      <c r="B540" s="6"/>
      <c r="C540" s="11"/>
      <c r="D540" s="11"/>
      <c r="E540" s="11"/>
      <c r="F540" s="6"/>
      <c r="G540" s="11"/>
      <c r="H540" s="11"/>
      <c r="I540" s="6"/>
      <c r="J540" s="6"/>
      <c r="K540" s="6"/>
      <c r="L540" s="6"/>
      <c r="M540" s="6"/>
      <c r="N540" s="6"/>
      <c r="O540" s="6"/>
      <c r="P540" s="6"/>
      <c r="Q540" s="6"/>
    </row>
    <row r="541" ht="19.5" customHeight="1">
      <c r="A541" s="22"/>
      <c r="B541" s="6"/>
      <c r="C541" s="11"/>
      <c r="D541" s="11"/>
      <c r="E541" s="11"/>
      <c r="F541" s="6"/>
      <c r="G541" s="11"/>
      <c r="H541" s="11"/>
      <c r="I541" s="6"/>
      <c r="J541" s="6"/>
      <c r="K541" s="6"/>
      <c r="L541" s="6"/>
      <c r="M541" s="6"/>
      <c r="N541" s="6"/>
      <c r="O541" s="6"/>
      <c r="P541" s="6"/>
      <c r="Q541" s="6"/>
    </row>
    <row r="542" ht="19.5" customHeight="1">
      <c r="A542" s="22"/>
      <c r="B542" s="6"/>
      <c r="C542" s="11"/>
      <c r="D542" s="11"/>
      <c r="E542" s="11"/>
      <c r="F542" s="6"/>
      <c r="G542" s="11"/>
      <c r="H542" s="11"/>
      <c r="I542" s="6"/>
      <c r="J542" s="6"/>
      <c r="K542" s="6"/>
      <c r="L542" s="6"/>
      <c r="M542" s="6"/>
      <c r="N542" s="6"/>
      <c r="O542" s="6"/>
      <c r="P542" s="6"/>
      <c r="Q542" s="6"/>
    </row>
    <row r="543" ht="19.5" customHeight="1">
      <c r="A543" s="22"/>
      <c r="B543" s="6"/>
      <c r="C543" s="11"/>
      <c r="D543" s="11"/>
      <c r="E543" s="11"/>
      <c r="F543" s="6"/>
      <c r="G543" s="11"/>
      <c r="H543" s="11"/>
      <c r="I543" s="6"/>
      <c r="J543" s="6"/>
      <c r="K543" s="6"/>
      <c r="L543" s="6"/>
      <c r="M543" s="6"/>
      <c r="N543" s="6"/>
      <c r="O543" s="6"/>
      <c r="P543" s="6"/>
      <c r="Q543" s="6"/>
    </row>
    <row r="544" ht="19.5" customHeight="1">
      <c r="A544" s="22"/>
      <c r="B544" s="6"/>
      <c r="C544" s="11"/>
      <c r="D544" s="11"/>
      <c r="E544" s="11"/>
      <c r="F544" s="6"/>
      <c r="G544" s="11"/>
      <c r="H544" s="11"/>
      <c r="I544" s="6"/>
      <c r="J544" s="6"/>
      <c r="K544" s="6"/>
      <c r="L544" s="6"/>
      <c r="M544" s="6"/>
      <c r="N544" s="6"/>
      <c r="O544" s="6"/>
      <c r="P544" s="6"/>
      <c r="Q544" s="6"/>
    </row>
    <row r="545" ht="19.5" customHeight="1">
      <c r="A545" s="22"/>
      <c r="B545" s="6"/>
      <c r="C545" s="11"/>
      <c r="D545" s="11"/>
      <c r="E545" s="11"/>
      <c r="F545" s="6"/>
      <c r="G545" s="11"/>
      <c r="H545" s="11"/>
      <c r="I545" s="6"/>
      <c r="J545" s="6"/>
      <c r="K545" s="6"/>
      <c r="L545" s="6"/>
      <c r="M545" s="6"/>
      <c r="N545" s="6"/>
      <c r="O545" s="6"/>
      <c r="P545" s="6"/>
      <c r="Q545" s="6"/>
    </row>
    <row r="546" ht="19.5" customHeight="1">
      <c r="A546" s="22"/>
      <c r="B546" s="6"/>
      <c r="C546" s="11"/>
      <c r="D546" s="11"/>
      <c r="E546" s="11"/>
      <c r="F546" s="6"/>
      <c r="G546" s="11"/>
      <c r="H546" s="11"/>
      <c r="I546" s="6"/>
      <c r="J546" s="6"/>
      <c r="K546" s="6"/>
      <c r="L546" s="6"/>
      <c r="M546" s="6"/>
      <c r="N546" s="6"/>
      <c r="O546" s="6"/>
      <c r="P546" s="6"/>
      <c r="Q546" s="6"/>
    </row>
    <row r="547" ht="19.5" customHeight="1">
      <c r="A547" s="22"/>
      <c r="B547" s="6"/>
      <c r="C547" s="11"/>
      <c r="D547" s="11"/>
      <c r="E547" s="11"/>
      <c r="F547" s="6"/>
      <c r="G547" s="11"/>
      <c r="H547" s="11"/>
      <c r="I547" s="6"/>
      <c r="J547" s="6"/>
      <c r="K547" s="6"/>
      <c r="L547" s="6"/>
      <c r="M547" s="6"/>
      <c r="N547" s="6"/>
      <c r="O547" s="6"/>
      <c r="P547" s="6"/>
      <c r="Q547" s="6"/>
    </row>
    <row r="548" ht="19.5" customHeight="1">
      <c r="A548" s="22"/>
      <c r="B548" s="6"/>
      <c r="C548" s="11"/>
      <c r="D548" s="11"/>
      <c r="E548" s="11"/>
      <c r="F548" s="6"/>
      <c r="G548" s="11"/>
      <c r="H548" s="11"/>
      <c r="I548" s="6"/>
      <c r="J548" s="6"/>
      <c r="K548" s="6"/>
      <c r="L548" s="6"/>
      <c r="M548" s="6"/>
      <c r="N548" s="6"/>
      <c r="O548" s="6"/>
      <c r="P548" s="6"/>
      <c r="Q548" s="6"/>
    </row>
    <row r="549" ht="19.5" customHeight="1">
      <c r="A549" s="22"/>
      <c r="B549" s="6"/>
      <c r="C549" s="11"/>
      <c r="D549" s="11"/>
      <c r="E549" s="11"/>
      <c r="F549" s="6"/>
      <c r="G549" s="11"/>
      <c r="H549" s="11"/>
      <c r="I549" s="6"/>
      <c r="J549" s="6"/>
      <c r="K549" s="6"/>
      <c r="L549" s="6"/>
      <c r="M549" s="6"/>
      <c r="N549" s="6"/>
      <c r="O549" s="6"/>
      <c r="P549" s="6"/>
      <c r="Q549" s="6"/>
    </row>
    <row r="550" ht="19.5" customHeight="1">
      <c r="A550" s="22"/>
      <c r="B550" s="6"/>
      <c r="C550" s="11"/>
      <c r="D550" s="11"/>
      <c r="E550" s="11"/>
      <c r="F550" s="6"/>
      <c r="G550" s="11"/>
      <c r="H550" s="11"/>
      <c r="I550" s="6"/>
      <c r="J550" s="6"/>
      <c r="K550" s="6"/>
      <c r="L550" s="6"/>
      <c r="M550" s="6"/>
      <c r="N550" s="6"/>
      <c r="O550" s="6"/>
      <c r="P550" s="6"/>
      <c r="Q550" s="6"/>
    </row>
    <row r="551" ht="19.5" customHeight="1">
      <c r="A551" s="22"/>
      <c r="B551" s="6"/>
      <c r="C551" s="11"/>
      <c r="D551" s="11"/>
      <c r="E551" s="11"/>
      <c r="F551" s="6"/>
      <c r="G551" s="11"/>
      <c r="H551" s="11"/>
      <c r="I551" s="6"/>
      <c r="J551" s="6"/>
      <c r="K551" s="6"/>
      <c r="L551" s="6"/>
      <c r="M551" s="6"/>
      <c r="N551" s="6"/>
      <c r="O551" s="6"/>
      <c r="P551" s="6"/>
      <c r="Q551" s="6"/>
    </row>
    <row r="552" ht="19.5" customHeight="1">
      <c r="A552" s="22"/>
      <c r="B552" s="6"/>
      <c r="C552" s="11"/>
      <c r="D552" s="11"/>
      <c r="E552" s="11"/>
      <c r="F552" s="6"/>
      <c r="G552" s="11"/>
      <c r="H552" s="11"/>
      <c r="I552" s="6"/>
      <c r="J552" s="6"/>
      <c r="K552" s="6"/>
      <c r="L552" s="6"/>
      <c r="M552" s="6"/>
      <c r="N552" s="6"/>
      <c r="O552" s="6"/>
      <c r="P552" s="6"/>
      <c r="Q552" s="6"/>
    </row>
    <row r="553" ht="19.5" customHeight="1">
      <c r="A553" s="22"/>
      <c r="B553" s="6"/>
      <c r="C553" s="11"/>
      <c r="D553" s="11"/>
      <c r="E553" s="11"/>
      <c r="F553" s="6"/>
      <c r="G553" s="11"/>
      <c r="H553" s="11"/>
      <c r="I553" s="6"/>
      <c r="J553" s="6"/>
      <c r="K553" s="6"/>
      <c r="L553" s="6"/>
      <c r="M553" s="6"/>
      <c r="N553" s="6"/>
      <c r="O553" s="6"/>
      <c r="P553" s="6"/>
      <c r="Q553" s="6"/>
    </row>
    <row r="554" ht="19.5" customHeight="1">
      <c r="A554" s="22"/>
      <c r="B554" s="6"/>
      <c r="C554" s="11"/>
      <c r="D554" s="11"/>
      <c r="E554" s="11"/>
      <c r="F554" s="6"/>
      <c r="G554" s="11"/>
      <c r="H554" s="11"/>
      <c r="I554" s="6"/>
      <c r="J554" s="6"/>
      <c r="K554" s="6"/>
      <c r="L554" s="6"/>
      <c r="M554" s="6"/>
      <c r="N554" s="6"/>
      <c r="O554" s="6"/>
      <c r="P554" s="6"/>
      <c r="Q554" s="6"/>
    </row>
    <row r="555" ht="19.5" customHeight="1">
      <c r="A555" s="22"/>
      <c r="B555" s="6"/>
      <c r="C555" s="11"/>
      <c r="D555" s="11"/>
      <c r="E555" s="11"/>
      <c r="F555" s="6"/>
      <c r="G555" s="11"/>
      <c r="H555" s="11"/>
      <c r="I555" s="6"/>
      <c r="J555" s="6"/>
      <c r="K555" s="6"/>
      <c r="L555" s="6"/>
      <c r="M555" s="6"/>
      <c r="N555" s="6"/>
      <c r="O555" s="6"/>
      <c r="P555" s="6"/>
      <c r="Q555" s="6"/>
    </row>
    <row r="556" ht="19.5" customHeight="1">
      <c r="A556" s="22"/>
      <c r="B556" s="6"/>
      <c r="C556" s="11"/>
      <c r="D556" s="11"/>
      <c r="E556" s="11"/>
      <c r="F556" s="6"/>
      <c r="G556" s="11"/>
      <c r="H556" s="11"/>
      <c r="I556" s="6"/>
      <c r="J556" s="6"/>
      <c r="K556" s="6"/>
      <c r="L556" s="6"/>
      <c r="M556" s="6"/>
      <c r="N556" s="6"/>
      <c r="O556" s="6"/>
      <c r="P556" s="6"/>
      <c r="Q556" s="6"/>
    </row>
    <row r="557" ht="19.5" customHeight="1">
      <c r="A557" s="22"/>
      <c r="B557" s="6"/>
      <c r="C557" s="11"/>
      <c r="D557" s="11"/>
      <c r="E557" s="11"/>
      <c r="F557" s="6"/>
      <c r="G557" s="11"/>
      <c r="H557" s="11"/>
      <c r="I557" s="6"/>
      <c r="J557" s="6"/>
      <c r="K557" s="6"/>
      <c r="L557" s="6"/>
      <c r="M557" s="6"/>
      <c r="N557" s="6"/>
      <c r="O557" s="6"/>
      <c r="P557" s="6"/>
      <c r="Q557" s="6"/>
    </row>
    <row r="558" ht="19.5" customHeight="1">
      <c r="A558" s="22"/>
      <c r="B558" s="6"/>
      <c r="C558" s="11"/>
      <c r="D558" s="11"/>
      <c r="E558" s="11"/>
      <c r="F558" s="6"/>
      <c r="G558" s="11"/>
      <c r="H558" s="11"/>
      <c r="I558" s="6"/>
      <c r="J558" s="6"/>
      <c r="K558" s="6"/>
      <c r="L558" s="6"/>
      <c r="M558" s="6"/>
      <c r="N558" s="6"/>
      <c r="O558" s="6"/>
      <c r="P558" s="6"/>
      <c r="Q558" s="6"/>
    </row>
    <row r="559" ht="19.5" customHeight="1">
      <c r="A559" s="22"/>
      <c r="B559" s="6"/>
      <c r="C559" s="11"/>
      <c r="D559" s="11"/>
      <c r="E559" s="11"/>
      <c r="F559" s="6"/>
      <c r="G559" s="11"/>
      <c r="H559" s="11"/>
      <c r="I559" s="6"/>
      <c r="J559" s="6"/>
      <c r="K559" s="6"/>
      <c r="L559" s="6"/>
      <c r="M559" s="6"/>
      <c r="N559" s="6"/>
      <c r="O559" s="6"/>
      <c r="P559" s="6"/>
      <c r="Q559" s="6"/>
    </row>
    <row r="560" ht="19.5" customHeight="1">
      <c r="A560" s="22"/>
      <c r="B560" s="6"/>
      <c r="C560" s="11"/>
      <c r="D560" s="11"/>
      <c r="E560" s="11"/>
      <c r="F560" s="6"/>
      <c r="G560" s="11"/>
      <c r="H560" s="11"/>
      <c r="I560" s="6"/>
      <c r="J560" s="6"/>
      <c r="K560" s="6"/>
      <c r="L560" s="6"/>
      <c r="M560" s="6"/>
      <c r="N560" s="6"/>
      <c r="O560" s="6"/>
      <c r="P560" s="6"/>
      <c r="Q560" s="6"/>
    </row>
    <row r="561" ht="19.5" customHeight="1">
      <c r="A561" s="22"/>
      <c r="B561" s="6"/>
      <c r="C561" s="11"/>
      <c r="D561" s="11"/>
      <c r="E561" s="11"/>
      <c r="F561" s="6"/>
      <c r="G561" s="11"/>
      <c r="H561" s="11"/>
      <c r="I561" s="6"/>
      <c r="J561" s="6"/>
      <c r="K561" s="6"/>
      <c r="L561" s="6"/>
      <c r="M561" s="6"/>
      <c r="N561" s="6"/>
      <c r="O561" s="6"/>
      <c r="P561" s="6"/>
      <c r="Q561" s="6"/>
    </row>
    <row r="562" ht="19.5" customHeight="1">
      <c r="A562" s="22"/>
      <c r="B562" s="6"/>
      <c r="C562" s="11"/>
      <c r="D562" s="11"/>
      <c r="E562" s="11"/>
      <c r="F562" s="6"/>
      <c r="G562" s="11"/>
      <c r="H562" s="11"/>
      <c r="I562" s="6"/>
      <c r="J562" s="6"/>
      <c r="K562" s="6"/>
      <c r="L562" s="6"/>
      <c r="M562" s="6"/>
      <c r="N562" s="6"/>
      <c r="O562" s="6"/>
      <c r="P562" s="6"/>
      <c r="Q562" s="6"/>
    </row>
    <row r="563" ht="19.5" customHeight="1">
      <c r="A563" s="22"/>
      <c r="B563" s="6"/>
      <c r="C563" s="11"/>
      <c r="D563" s="11"/>
      <c r="E563" s="11"/>
      <c r="F563" s="6"/>
      <c r="G563" s="11"/>
      <c r="H563" s="11"/>
      <c r="I563" s="6"/>
      <c r="J563" s="6"/>
      <c r="K563" s="6"/>
      <c r="L563" s="6"/>
      <c r="M563" s="6"/>
      <c r="N563" s="6"/>
      <c r="O563" s="6"/>
      <c r="P563" s="6"/>
      <c r="Q563" s="6"/>
    </row>
    <row r="564" ht="19.5" customHeight="1">
      <c r="A564" s="22"/>
      <c r="B564" s="6"/>
      <c r="C564" s="11"/>
      <c r="D564" s="11"/>
      <c r="E564" s="11"/>
      <c r="F564" s="6"/>
      <c r="G564" s="11"/>
      <c r="H564" s="11"/>
      <c r="I564" s="6"/>
      <c r="J564" s="6"/>
      <c r="K564" s="6"/>
      <c r="L564" s="6"/>
      <c r="M564" s="6"/>
      <c r="N564" s="6"/>
      <c r="O564" s="6"/>
      <c r="P564" s="6"/>
      <c r="Q564" s="6"/>
    </row>
    <row r="565" ht="19.5" customHeight="1">
      <c r="A565" s="22"/>
      <c r="B565" s="6"/>
      <c r="C565" s="11"/>
      <c r="D565" s="11"/>
      <c r="E565" s="11"/>
      <c r="F565" s="6"/>
      <c r="G565" s="11"/>
      <c r="H565" s="11"/>
      <c r="I565" s="6"/>
      <c r="J565" s="6"/>
      <c r="K565" s="6"/>
      <c r="L565" s="6"/>
      <c r="M565" s="6"/>
      <c r="N565" s="6"/>
      <c r="O565" s="6"/>
      <c r="P565" s="6"/>
      <c r="Q565" s="6"/>
    </row>
    <row r="566" ht="19.5" customHeight="1">
      <c r="A566" s="22"/>
      <c r="B566" s="6"/>
      <c r="C566" s="11"/>
      <c r="D566" s="11"/>
      <c r="E566" s="11"/>
      <c r="F566" s="6"/>
      <c r="G566" s="11"/>
      <c r="H566" s="11"/>
      <c r="I566" s="6"/>
      <c r="J566" s="6"/>
      <c r="K566" s="6"/>
      <c r="L566" s="6"/>
      <c r="M566" s="6"/>
      <c r="N566" s="6"/>
      <c r="O566" s="6"/>
      <c r="P566" s="6"/>
      <c r="Q566" s="6"/>
    </row>
    <row r="567" ht="19.5" customHeight="1">
      <c r="A567" s="22"/>
      <c r="B567" s="6"/>
      <c r="C567" s="11"/>
      <c r="D567" s="11"/>
      <c r="E567" s="11"/>
      <c r="F567" s="6"/>
      <c r="G567" s="11"/>
      <c r="H567" s="11"/>
      <c r="I567" s="6"/>
      <c r="J567" s="6"/>
      <c r="K567" s="6"/>
      <c r="L567" s="6"/>
      <c r="M567" s="6"/>
      <c r="N567" s="6"/>
      <c r="O567" s="6"/>
      <c r="P567" s="6"/>
      <c r="Q567" s="6"/>
    </row>
    <row r="568" ht="19.5" customHeight="1">
      <c r="A568" s="22"/>
      <c r="B568" s="6"/>
      <c r="C568" s="11"/>
      <c r="D568" s="11"/>
      <c r="E568" s="11"/>
      <c r="F568" s="6"/>
      <c r="G568" s="11"/>
      <c r="H568" s="11"/>
      <c r="I568" s="6"/>
      <c r="J568" s="6"/>
      <c r="K568" s="6"/>
      <c r="L568" s="6"/>
      <c r="M568" s="6"/>
      <c r="N568" s="6"/>
      <c r="O568" s="6"/>
      <c r="P568" s="6"/>
      <c r="Q568" s="6"/>
    </row>
    <row r="569" ht="19.5" customHeight="1">
      <c r="A569" s="22"/>
      <c r="B569" s="6"/>
      <c r="C569" s="11"/>
      <c r="D569" s="11"/>
      <c r="E569" s="11"/>
      <c r="F569" s="6"/>
      <c r="G569" s="11"/>
      <c r="H569" s="11"/>
      <c r="I569" s="6"/>
      <c r="J569" s="6"/>
      <c r="K569" s="6"/>
      <c r="L569" s="6"/>
      <c r="M569" s="6"/>
      <c r="N569" s="6"/>
      <c r="O569" s="6"/>
      <c r="P569" s="6"/>
      <c r="Q569" s="6"/>
    </row>
    <row r="570" ht="19.5" customHeight="1">
      <c r="A570" s="22"/>
      <c r="B570" s="6"/>
      <c r="C570" s="11"/>
      <c r="D570" s="11"/>
      <c r="E570" s="11"/>
      <c r="F570" s="6"/>
      <c r="G570" s="11"/>
      <c r="H570" s="11"/>
      <c r="I570" s="6"/>
      <c r="J570" s="6"/>
      <c r="K570" s="6"/>
      <c r="L570" s="6"/>
      <c r="M570" s="6"/>
      <c r="N570" s="6"/>
      <c r="O570" s="6"/>
      <c r="P570" s="6"/>
      <c r="Q570" s="6"/>
    </row>
    <row r="571" ht="19.5" customHeight="1">
      <c r="A571" s="22"/>
      <c r="B571" s="6"/>
      <c r="C571" s="11"/>
      <c r="D571" s="11"/>
      <c r="E571" s="11"/>
      <c r="F571" s="6"/>
      <c r="G571" s="11"/>
      <c r="H571" s="11"/>
      <c r="I571" s="6"/>
      <c r="J571" s="6"/>
      <c r="K571" s="6"/>
      <c r="L571" s="6"/>
      <c r="M571" s="6"/>
      <c r="N571" s="6"/>
      <c r="O571" s="6"/>
      <c r="P571" s="6"/>
      <c r="Q571" s="6"/>
    </row>
    <row r="572" ht="19.5" customHeight="1">
      <c r="A572" s="22"/>
      <c r="B572" s="6"/>
      <c r="C572" s="11"/>
      <c r="D572" s="11"/>
      <c r="E572" s="11"/>
      <c r="F572" s="6"/>
      <c r="G572" s="11"/>
      <c r="H572" s="11"/>
      <c r="I572" s="6"/>
      <c r="J572" s="6"/>
      <c r="K572" s="6"/>
      <c r="L572" s="6"/>
      <c r="M572" s="6"/>
      <c r="N572" s="6"/>
      <c r="O572" s="6"/>
      <c r="P572" s="6"/>
      <c r="Q572" s="6"/>
    </row>
    <row r="573" ht="19.5" customHeight="1">
      <c r="A573" s="22"/>
      <c r="B573" s="6"/>
      <c r="C573" s="11"/>
      <c r="D573" s="11"/>
      <c r="E573" s="11"/>
      <c r="F573" s="6"/>
      <c r="G573" s="11"/>
      <c r="H573" s="11"/>
      <c r="I573" s="6"/>
      <c r="J573" s="6"/>
      <c r="K573" s="6"/>
      <c r="L573" s="6"/>
      <c r="M573" s="6"/>
      <c r="N573" s="6"/>
      <c r="O573" s="6"/>
      <c r="P573" s="6"/>
      <c r="Q573" s="6"/>
    </row>
    <row r="574" ht="19.5" customHeight="1">
      <c r="A574" s="22"/>
      <c r="B574" s="6"/>
      <c r="C574" s="11"/>
      <c r="D574" s="11"/>
      <c r="E574" s="11"/>
      <c r="F574" s="6"/>
      <c r="G574" s="11"/>
      <c r="H574" s="11"/>
      <c r="I574" s="6"/>
      <c r="J574" s="6"/>
      <c r="K574" s="6"/>
      <c r="L574" s="6"/>
      <c r="M574" s="6"/>
      <c r="N574" s="6"/>
      <c r="O574" s="6"/>
      <c r="P574" s="6"/>
      <c r="Q574" s="6"/>
    </row>
    <row r="575" ht="19.5" customHeight="1">
      <c r="A575" s="22"/>
      <c r="B575" s="6"/>
      <c r="C575" s="11"/>
      <c r="D575" s="11"/>
      <c r="E575" s="11"/>
      <c r="F575" s="6"/>
      <c r="G575" s="11"/>
      <c r="H575" s="11"/>
      <c r="I575" s="6"/>
      <c r="J575" s="6"/>
      <c r="K575" s="6"/>
      <c r="L575" s="6"/>
      <c r="M575" s="6"/>
      <c r="N575" s="6"/>
      <c r="O575" s="6"/>
      <c r="P575" s="6"/>
      <c r="Q575" s="6"/>
    </row>
    <row r="576" ht="19.5" customHeight="1">
      <c r="A576" s="22"/>
      <c r="B576" s="6"/>
      <c r="C576" s="11"/>
      <c r="D576" s="11"/>
      <c r="E576" s="11"/>
      <c r="F576" s="6"/>
      <c r="G576" s="11"/>
      <c r="H576" s="11"/>
      <c r="I576" s="6"/>
      <c r="J576" s="6"/>
      <c r="K576" s="6"/>
      <c r="L576" s="6"/>
      <c r="M576" s="6"/>
      <c r="N576" s="6"/>
      <c r="O576" s="6"/>
      <c r="P576" s="6"/>
      <c r="Q576" s="6"/>
    </row>
    <row r="577" ht="19.5" customHeight="1">
      <c r="A577" s="22"/>
      <c r="B577" s="6"/>
      <c r="C577" s="11"/>
      <c r="D577" s="11"/>
      <c r="E577" s="11"/>
      <c r="F577" s="6"/>
      <c r="G577" s="11"/>
      <c r="H577" s="11"/>
      <c r="I577" s="6"/>
      <c r="J577" s="6"/>
      <c r="K577" s="6"/>
      <c r="L577" s="6"/>
      <c r="M577" s="6"/>
      <c r="N577" s="6"/>
      <c r="O577" s="6"/>
      <c r="P577" s="6"/>
      <c r="Q577" s="6"/>
    </row>
    <row r="578" ht="19.5" customHeight="1">
      <c r="A578" s="22"/>
      <c r="B578" s="6"/>
      <c r="C578" s="11"/>
      <c r="D578" s="11"/>
      <c r="E578" s="11"/>
      <c r="F578" s="6"/>
      <c r="G578" s="11"/>
      <c r="H578" s="11"/>
      <c r="I578" s="6"/>
      <c r="J578" s="6"/>
      <c r="K578" s="6"/>
      <c r="L578" s="6"/>
      <c r="M578" s="6"/>
      <c r="N578" s="6"/>
      <c r="O578" s="6"/>
      <c r="P578" s="6"/>
      <c r="Q578" s="6"/>
    </row>
    <row r="579" ht="19.5" customHeight="1">
      <c r="A579" s="22"/>
      <c r="B579" s="6"/>
      <c r="C579" s="11"/>
      <c r="D579" s="11"/>
      <c r="E579" s="11"/>
      <c r="F579" s="6"/>
      <c r="G579" s="11"/>
      <c r="H579" s="11"/>
      <c r="I579" s="6"/>
      <c r="J579" s="6"/>
      <c r="K579" s="6"/>
      <c r="L579" s="6"/>
      <c r="M579" s="6"/>
      <c r="N579" s="6"/>
      <c r="O579" s="6"/>
      <c r="P579" s="6"/>
      <c r="Q579" s="6"/>
    </row>
    <row r="580" ht="19.5" customHeight="1">
      <c r="A580" s="22"/>
      <c r="B580" s="6"/>
      <c r="C580" s="11"/>
      <c r="D580" s="11"/>
      <c r="E580" s="11"/>
      <c r="F580" s="6"/>
      <c r="G580" s="11"/>
      <c r="H580" s="11"/>
      <c r="I580" s="6"/>
      <c r="J580" s="6"/>
      <c r="K580" s="6"/>
      <c r="L580" s="6"/>
      <c r="M580" s="6"/>
      <c r="N580" s="6"/>
      <c r="O580" s="6"/>
      <c r="P580" s="6"/>
      <c r="Q580" s="6"/>
    </row>
    <row r="581" ht="19.5" customHeight="1">
      <c r="A581" s="22"/>
      <c r="B581" s="6"/>
      <c r="C581" s="11"/>
      <c r="D581" s="11"/>
      <c r="E581" s="11"/>
      <c r="F581" s="6"/>
      <c r="G581" s="11"/>
      <c r="H581" s="11"/>
      <c r="I581" s="6"/>
      <c r="J581" s="6"/>
      <c r="K581" s="6"/>
      <c r="L581" s="6"/>
      <c r="M581" s="6"/>
      <c r="N581" s="6"/>
      <c r="O581" s="6"/>
      <c r="P581" s="6"/>
      <c r="Q581" s="6"/>
    </row>
    <row r="582" ht="19.5" customHeight="1">
      <c r="A582" s="22"/>
      <c r="B582" s="6"/>
      <c r="C582" s="11"/>
      <c r="D582" s="11"/>
      <c r="E582" s="11"/>
      <c r="F582" s="6"/>
      <c r="G582" s="11"/>
      <c r="H582" s="11"/>
      <c r="I582" s="6"/>
      <c r="J582" s="6"/>
      <c r="K582" s="6"/>
      <c r="L582" s="6"/>
      <c r="M582" s="6"/>
      <c r="N582" s="6"/>
      <c r="O582" s="6"/>
      <c r="P582" s="6"/>
      <c r="Q582" s="6"/>
    </row>
    <row r="583" ht="19.5" customHeight="1">
      <c r="A583" s="22"/>
      <c r="B583" s="6"/>
      <c r="C583" s="11"/>
      <c r="D583" s="11"/>
      <c r="E583" s="11"/>
      <c r="F583" s="6"/>
      <c r="G583" s="11"/>
      <c r="H583" s="11"/>
      <c r="I583" s="6"/>
      <c r="J583" s="6"/>
      <c r="K583" s="6"/>
      <c r="L583" s="6"/>
      <c r="M583" s="6"/>
      <c r="N583" s="6"/>
      <c r="O583" s="6"/>
      <c r="P583" s="6"/>
      <c r="Q583" s="6"/>
    </row>
    <row r="584" ht="19.5" customHeight="1">
      <c r="A584" s="22"/>
      <c r="B584" s="6"/>
      <c r="C584" s="11"/>
      <c r="D584" s="11"/>
      <c r="E584" s="11"/>
      <c r="F584" s="6"/>
      <c r="G584" s="11"/>
      <c r="H584" s="11"/>
      <c r="I584" s="6"/>
      <c r="J584" s="6"/>
      <c r="K584" s="6"/>
      <c r="L584" s="6"/>
      <c r="M584" s="6"/>
      <c r="N584" s="6"/>
      <c r="O584" s="6"/>
      <c r="P584" s="6"/>
      <c r="Q584" s="6"/>
    </row>
    <row r="585" ht="19.5" customHeight="1">
      <c r="A585" s="22"/>
      <c r="B585" s="6"/>
      <c r="C585" s="11"/>
      <c r="D585" s="11"/>
      <c r="E585" s="11"/>
      <c r="F585" s="6"/>
      <c r="G585" s="11"/>
      <c r="H585" s="11"/>
      <c r="I585" s="6"/>
      <c r="J585" s="6"/>
      <c r="K585" s="6"/>
      <c r="L585" s="6"/>
      <c r="M585" s="6"/>
      <c r="N585" s="6"/>
      <c r="O585" s="6"/>
      <c r="P585" s="6"/>
      <c r="Q585" s="6"/>
    </row>
    <row r="586" ht="19.5" customHeight="1">
      <c r="A586" s="22"/>
      <c r="B586" s="6"/>
      <c r="C586" s="11"/>
      <c r="D586" s="11"/>
      <c r="E586" s="11"/>
      <c r="F586" s="6"/>
      <c r="G586" s="11"/>
      <c r="H586" s="11"/>
      <c r="I586" s="6"/>
      <c r="J586" s="6"/>
      <c r="K586" s="6"/>
      <c r="L586" s="6"/>
      <c r="M586" s="6"/>
      <c r="N586" s="6"/>
      <c r="O586" s="6"/>
      <c r="P586" s="6"/>
      <c r="Q586" s="6"/>
    </row>
    <row r="587" ht="19.5" customHeight="1">
      <c r="A587" s="22"/>
      <c r="B587" s="6"/>
      <c r="C587" s="11"/>
      <c r="D587" s="11"/>
      <c r="E587" s="11"/>
      <c r="F587" s="6"/>
      <c r="G587" s="11"/>
      <c r="H587" s="11"/>
      <c r="I587" s="6"/>
      <c r="J587" s="6"/>
      <c r="K587" s="6"/>
      <c r="L587" s="6"/>
      <c r="M587" s="6"/>
      <c r="N587" s="6"/>
      <c r="O587" s="6"/>
      <c r="P587" s="6"/>
      <c r="Q587" s="6"/>
    </row>
    <row r="588" ht="19.5" customHeight="1">
      <c r="A588" s="22"/>
      <c r="B588" s="6"/>
      <c r="C588" s="11"/>
      <c r="D588" s="11"/>
      <c r="E588" s="11"/>
      <c r="F588" s="6"/>
      <c r="G588" s="11"/>
      <c r="H588" s="11"/>
      <c r="I588" s="6"/>
      <c r="J588" s="6"/>
      <c r="K588" s="6"/>
      <c r="L588" s="6"/>
      <c r="M588" s="6"/>
      <c r="N588" s="6"/>
      <c r="O588" s="6"/>
      <c r="P588" s="6"/>
      <c r="Q588" s="6"/>
    </row>
    <row r="589" ht="19.5" customHeight="1">
      <c r="A589" s="22"/>
      <c r="B589" s="6"/>
      <c r="C589" s="11"/>
      <c r="D589" s="11"/>
      <c r="E589" s="11"/>
      <c r="F589" s="6"/>
      <c r="G589" s="11"/>
      <c r="H589" s="11"/>
      <c r="I589" s="6"/>
      <c r="J589" s="6"/>
      <c r="K589" s="6"/>
      <c r="L589" s="6"/>
      <c r="M589" s="6"/>
      <c r="N589" s="6"/>
      <c r="O589" s="6"/>
      <c r="P589" s="6"/>
      <c r="Q589" s="6"/>
    </row>
    <row r="590" ht="19.5" customHeight="1">
      <c r="A590" s="22"/>
      <c r="B590" s="6"/>
      <c r="C590" s="11"/>
      <c r="D590" s="11"/>
      <c r="E590" s="11"/>
      <c r="F590" s="6"/>
      <c r="G590" s="11"/>
      <c r="H590" s="11"/>
      <c r="I590" s="6"/>
      <c r="J590" s="6"/>
      <c r="K590" s="6"/>
      <c r="L590" s="6"/>
      <c r="M590" s="6"/>
      <c r="N590" s="6"/>
      <c r="O590" s="6"/>
      <c r="P590" s="6"/>
      <c r="Q590" s="6"/>
    </row>
    <row r="591" ht="19.5" customHeight="1">
      <c r="A591" s="22"/>
      <c r="B591" s="6"/>
      <c r="C591" s="11"/>
      <c r="D591" s="11"/>
      <c r="E591" s="11"/>
      <c r="F591" s="6"/>
      <c r="G591" s="11"/>
      <c r="H591" s="11"/>
      <c r="I591" s="6"/>
      <c r="J591" s="6"/>
      <c r="K591" s="6"/>
      <c r="L591" s="6"/>
      <c r="M591" s="6"/>
      <c r="N591" s="6"/>
      <c r="O591" s="6"/>
      <c r="P591" s="6"/>
      <c r="Q591" s="6"/>
    </row>
    <row r="592" ht="19.5" customHeight="1">
      <c r="A592" s="22"/>
      <c r="B592" s="6"/>
      <c r="C592" s="11"/>
      <c r="D592" s="11"/>
      <c r="E592" s="11"/>
      <c r="F592" s="6"/>
      <c r="G592" s="11"/>
      <c r="H592" s="11"/>
      <c r="I592" s="6"/>
      <c r="J592" s="6"/>
      <c r="K592" s="6"/>
      <c r="L592" s="6"/>
      <c r="M592" s="6"/>
      <c r="N592" s="6"/>
      <c r="O592" s="6"/>
      <c r="P592" s="6"/>
      <c r="Q592" s="6"/>
    </row>
    <row r="593" ht="19.5" customHeight="1">
      <c r="A593" s="22"/>
      <c r="B593" s="6"/>
      <c r="C593" s="11"/>
      <c r="D593" s="11"/>
      <c r="E593" s="11"/>
      <c r="F593" s="6"/>
      <c r="G593" s="11"/>
      <c r="H593" s="11"/>
      <c r="I593" s="6"/>
      <c r="J593" s="6"/>
      <c r="K593" s="6"/>
      <c r="L593" s="6"/>
      <c r="M593" s="6"/>
      <c r="N593" s="6"/>
      <c r="O593" s="6"/>
      <c r="P593" s="6"/>
      <c r="Q593" s="6"/>
    </row>
    <row r="594" ht="19.5" customHeight="1">
      <c r="A594" s="22"/>
      <c r="B594" s="6"/>
      <c r="C594" s="11"/>
      <c r="D594" s="11"/>
      <c r="E594" s="11"/>
      <c r="F594" s="6"/>
      <c r="G594" s="11"/>
      <c r="H594" s="11"/>
      <c r="I594" s="6"/>
      <c r="J594" s="6"/>
      <c r="K594" s="6"/>
      <c r="L594" s="6"/>
      <c r="M594" s="6"/>
      <c r="N594" s="6"/>
      <c r="O594" s="6"/>
      <c r="P594" s="6"/>
      <c r="Q594" s="6"/>
    </row>
    <row r="595" ht="19.5" customHeight="1">
      <c r="A595" s="22"/>
      <c r="B595" s="6"/>
      <c r="C595" s="11"/>
      <c r="D595" s="11"/>
      <c r="E595" s="11"/>
      <c r="F595" s="6"/>
      <c r="G595" s="11"/>
      <c r="H595" s="11"/>
      <c r="I595" s="6"/>
      <c r="J595" s="6"/>
      <c r="K595" s="6"/>
      <c r="L595" s="6"/>
      <c r="M595" s="6"/>
      <c r="N595" s="6"/>
      <c r="O595" s="6"/>
      <c r="P595" s="6"/>
      <c r="Q595" s="6"/>
    </row>
    <row r="596" ht="19.5" customHeight="1">
      <c r="A596" s="22"/>
      <c r="B596" s="6"/>
      <c r="C596" s="11"/>
      <c r="D596" s="11"/>
      <c r="E596" s="11"/>
      <c r="F596" s="6"/>
      <c r="G596" s="11"/>
      <c r="H596" s="11"/>
      <c r="I596" s="6"/>
      <c r="J596" s="6"/>
      <c r="K596" s="6"/>
      <c r="L596" s="6"/>
      <c r="M596" s="6"/>
      <c r="N596" s="6"/>
      <c r="O596" s="6"/>
      <c r="P596" s="6"/>
      <c r="Q596" s="6"/>
    </row>
    <row r="597" ht="19.5" customHeight="1">
      <c r="A597" s="22"/>
      <c r="B597" s="6"/>
      <c r="C597" s="11"/>
      <c r="D597" s="11"/>
      <c r="E597" s="11"/>
      <c r="F597" s="6"/>
      <c r="G597" s="11"/>
      <c r="H597" s="11"/>
      <c r="I597" s="6"/>
      <c r="J597" s="6"/>
      <c r="K597" s="6"/>
      <c r="L597" s="6"/>
      <c r="M597" s="6"/>
      <c r="N597" s="6"/>
      <c r="O597" s="6"/>
      <c r="P597" s="6"/>
      <c r="Q597" s="6"/>
    </row>
    <row r="598" ht="19.5" customHeight="1">
      <c r="A598" s="22"/>
      <c r="B598" s="6"/>
      <c r="C598" s="11"/>
      <c r="D598" s="11"/>
      <c r="E598" s="11"/>
      <c r="F598" s="6"/>
      <c r="G598" s="11"/>
      <c r="H598" s="11"/>
      <c r="I598" s="6"/>
      <c r="J598" s="6"/>
      <c r="K598" s="6"/>
      <c r="L598" s="6"/>
      <c r="M598" s="6"/>
      <c r="N598" s="6"/>
      <c r="O598" s="6"/>
      <c r="P598" s="6"/>
      <c r="Q598" s="6"/>
    </row>
    <row r="599" ht="19.5" customHeight="1">
      <c r="A599" s="22"/>
      <c r="B599" s="6"/>
      <c r="C599" s="11"/>
      <c r="D599" s="11"/>
      <c r="E599" s="11"/>
      <c r="F599" s="6"/>
      <c r="G599" s="11"/>
      <c r="H599" s="11"/>
      <c r="I599" s="6"/>
      <c r="J599" s="6"/>
      <c r="K599" s="6"/>
      <c r="L599" s="6"/>
      <c r="M599" s="6"/>
      <c r="N599" s="6"/>
      <c r="O599" s="6"/>
      <c r="P599" s="6"/>
      <c r="Q599" s="6"/>
    </row>
    <row r="600" ht="19.5" customHeight="1">
      <c r="A600" s="22"/>
      <c r="B600" s="6"/>
      <c r="C600" s="11"/>
      <c r="D600" s="11"/>
      <c r="E600" s="11"/>
      <c r="F600" s="6"/>
      <c r="G600" s="11"/>
      <c r="H600" s="11"/>
      <c r="I600" s="6"/>
      <c r="J600" s="6"/>
      <c r="K600" s="6"/>
      <c r="L600" s="6"/>
      <c r="M600" s="6"/>
      <c r="N600" s="6"/>
      <c r="O600" s="6"/>
      <c r="P600" s="6"/>
      <c r="Q600" s="6"/>
    </row>
    <row r="601" ht="19.5" customHeight="1">
      <c r="A601" s="22"/>
      <c r="B601" s="6"/>
      <c r="C601" s="11"/>
      <c r="D601" s="11"/>
      <c r="E601" s="11"/>
      <c r="F601" s="6"/>
      <c r="G601" s="11"/>
      <c r="H601" s="11"/>
      <c r="I601" s="6"/>
      <c r="J601" s="6"/>
      <c r="K601" s="6"/>
      <c r="L601" s="6"/>
      <c r="M601" s="6"/>
      <c r="N601" s="6"/>
      <c r="O601" s="6"/>
      <c r="P601" s="6"/>
      <c r="Q601" s="6"/>
    </row>
    <row r="602" ht="19.5" customHeight="1">
      <c r="A602" s="22"/>
      <c r="B602" s="6"/>
      <c r="C602" s="11"/>
      <c r="D602" s="11"/>
      <c r="E602" s="11"/>
      <c r="F602" s="6"/>
      <c r="G602" s="11"/>
      <c r="H602" s="11"/>
      <c r="I602" s="6"/>
      <c r="J602" s="6"/>
      <c r="K602" s="6"/>
      <c r="L602" s="6"/>
      <c r="M602" s="6"/>
      <c r="N602" s="6"/>
      <c r="O602" s="6"/>
      <c r="P602" s="6"/>
      <c r="Q602" s="6"/>
    </row>
    <row r="603" ht="19.5" customHeight="1">
      <c r="A603" s="22"/>
      <c r="B603" s="6"/>
      <c r="C603" s="11"/>
      <c r="D603" s="11"/>
      <c r="E603" s="11"/>
      <c r="F603" s="6"/>
      <c r="G603" s="11"/>
      <c r="H603" s="11"/>
      <c r="I603" s="6"/>
      <c r="J603" s="6"/>
      <c r="K603" s="6"/>
      <c r="L603" s="6"/>
      <c r="M603" s="6"/>
      <c r="N603" s="6"/>
      <c r="O603" s="6"/>
      <c r="P603" s="6"/>
      <c r="Q603" s="6"/>
    </row>
    <row r="604" ht="19.5" customHeight="1">
      <c r="A604" s="22"/>
      <c r="B604" s="6"/>
      <c r="C604" s="11"/>
      <c r="D604" s="11"/>
      <c r="E604" s="11"/>
      <c r="F604" s="6"/>
      <c r="G604" s="11"/>
      <c r="H604" s="11"/>
      <c r="I604" s="6"/>
      <c r="J604" s="6"/>
      <c r="K604" s="6"/>
      <c r="L604" s="6"/>
      <c r="M604" s="6"/>
      <c r="N604" s="6"/>
      <c r="O604" s="6"/>
      <c r="P604" s="6"/>
      <c r="Q604" s="6"/>
    </row>
    <row r="605" ht="19.5" customHeight="1">
      <c r="A605" s="22"/>
      <c r="B605" s="6"/>
      <c r="C605" s="11"/>
      <c r="D605" s="11"/>
      <c r="E605" s="11"/>
      <c r="F605" s="6"/>
      <c r="G605" s="11"/>
      <c r="H605" s="11"/>
      <c r="I605" s="6"/>
      <c r="J605" s="6"/>
      <c r="K605" s="6"/>
      <c r="L605" s="6"/>
      <c r="M605" s="6"/>
      <c r="N605" s="6"/>
      <c r="O605" s="6"/>
      <c r="P605" s="6"/>
      <c r="Q605" s="6"/>
    </row>
    <row r="606" ht="19.5" customHeight="1">
      <c r="A606" s="22"/>
      <c r="B606" s="6"/>
      <c r="C606" s="11"/>
      <c r="D606" s="11"/>
      <c r="E606" s="11"/>
      <c r="F606" s="6"/>
      <c r="G606" s="11"/>
      <c r="H606" s="11"/>
      <c r="I606" s="6"/>
      <c r="J606" s="6"/>
      <c r="K606" s="6"/>
      <c r="L606" s="6"/>
      <c r="M606" s="6"/>
      <c r="N606" s="6"/>
      <c r="O606" s="6"/>
      <c r="P606" s="6"/>
      <c r="Q606" s="6"/>
    </row>
    <row r="607" ht="19.5" customHeight="1">
      <c r="A607" s="22"/>
      <c r="B607" s="6"/>
      <c r="C607" s="11"/>
      <c r="D607" s="11"/>
      <c r="E607" s="11"/>
      <c r="F607" s="6"/>
      <c r="G607" s="11"/>
      <c r="H607" s="11"/>
      <c r="I607" s="6"/>
      <c r="J607" s="6"/>
      <c r="K607" s="6"/>
      <c r="L607" s="6"/>
      <c r="M607" s="6"/>
      <c r="N607" s="6"/>
      <c r="O607" s="6"/>
      <c r="P607" s="6"/>
      <c r="Q607" s="6"/>
    </row>
    <row r="608" ht="19.5" customHeight="1">
      <c r="A608" s="22"/>
      <c r="B608" s="6"/>
      <c r="C608" s="11"/>
      <c r="D608" s="11"/>
      <c r="E608" s="11"/>
      <c r="F608" s="6"/>
      <c r="G608" s="11"/>
      <c r="H608" s="11"/>
      <c r="I608" s="6"/>
      <c r="J608" s="6"/>
      <c r="K608" s="6"/>
      <c r="L608" s="6"/>
      <c r="M608" s="6"/>
      <c r="N608" s="6"/>
      <c r="O608" s="6"/>
      <c r="P608" s="6"/>
      <c r="Q608" s="6"/>
    </row>
    <row r="609" ht="19.5" customHeight="1">
      <c r="A609" s="22"/>
      <c r="B609" s="6"/>
      <c r="C609" s="11"/>
      <c r="D609" s="11"/>
      <c r="E609" s="11"/>
      <c r="F609" s="6"/>
      <c r="G609" s="11"/>
      <c r="H609" s="11"/>
      <c r="I609" s="6"/>
      <c r="J609" s="6"/>
      <c r="K609" s="6"/>
      <c r="L609" s="6"/>
      <c r="M609" s="6"/>
      <c r="N609" s="6"/>
      <c r="O609" s="6"/>
      <c r="P609" s="6"/>
      <c r="Q609" s="6"/>
    </row>
    <row r="610" ht="19.5" customHeight="1">
      <c r="A610" s="22"/>
      <c r="B610" s="6"/>
      <c r="C610" s="11"/>
      <c r="D610" s="11"/>
      <c r="E610" s="11"/>
      <c r="F610" s="6"/>
      <c r="G610" s="11"/>
      <c r="H610" s="11"/>
      <c r="I610" s="6"/>
      <c r="J610" s="6"/>
      <c r="K610" s="6"/>
      <c r="L610" s="6"/>
      <c r="M610" s="6"/>
      <c r="N610" s="6"/>
      <c r="O610" s="6"/>
      <c r="P610" s="6"/>
      <c r="Q610" s="6"/>
    </row>
    <row r="611" ht="19.5" customHeight="1">
      <c r="A611" s="22"/>
      <c r="B611" s="6"/>
      <c r="C611" s="11"/>
      <c r="D611" s="11"/>
      <c r="E611" s="11"/>
      <c r="F611" s="6"/>
      <c r="G611" s="11"/>
      <c r="H611" s="11"/>
      <c r="I611" s="6"/>
      <c r="J611" s="6"/>
      <c r="K611" s="6"/>
      <c r="L611" s="6"/>
      <c r="M611" s="6"/>
      <c r="N611" s="6"/>
      <c r="O611" s="6"/>
      <c r="P611" s="6"/>
      <c r="Q611" s="6"/>
    </row>
    <row r="612" ht="19.5" customHeight="1">
      <c r="A612" s="22"/>
      <c r="B612" s="6"/>
      <c r="C612" s="11"/>
      <c r="D612" s="11"/>
      <c r="E612" s="11"/>
      <c r="F612" s="6"/>
      <c r="G612" s="11"/>
      <c r="H612" s="11"/>
      <c r="I612" s="6"/>
      <c r="J612" s="6"/>
      <c r="K612" s="6"/>
      <c r="L612" s="6"/>
      <c r="M612" s="6"/>
      <c r="N612" s="6"/>
      <c r="O612" s="6"/>
      <c r="P612" s="6"/>
      <c r="Q612" s="6"/>
    </row>
    <row r="613" ht="19.5" customHeight="1">
      <c r="A613" s="22"/>
      <c r="B613" s="6"/>
      <c r="C613" s="11"/>
      <c r="D613" s="11"/>
      <c r="E613" s="11"/>
      <c r="F613" s="6"/>
      <c r="G613" s="11"/>
      <c r="H613" s="11"/>
      <c r="I613" s="6"/>
      <c r="J613" s="6"/>
      <c r="K613" s="6"/>
      <c r="L613" s="6"/>
      <c r="M613" s="6"/>
      <c r="N613" s="6"/>
      <c r="O613" s="6"/>
      <c r="P613" s="6"/>
      <c r="Q613" s="6"/>
    </row>
    <row r="614" ht="19.5" customHeight="1">
      <c r="A614" s="22"/>
      <c r="B614" s="6"/>
      <c r="C614" s="11"/>
      <c r="D614" s="11"/>
      <c r="E614" s="11"/>
      <c r="F614" s="6"/>
      <c r="G614" s="11"/>
      <c r="H614" s="11"/>
      <c r="I614" s="6"/>
      <c r="J614" s="6"/>
      <c r="K614" s="6"/>
      <c r="L614" s="6"/>
      <c r="M614" s="6"/>
      <c r="N614" s="6"/>
      <c r="O614" s="6"/>
      <c r="P614" s="6"/>
      <c r="Q614" s="6"/>
    </row>
    <row r="615" ht="19.5" customHeight="1">
      <c r="A615" s="22"/>
      <c r="B615" s="6"/>
      <c r="C615" s="11"/>
      <c r="D615" s="11"/>
      <c r="E615" s="11"/>
      <c r="F615" s="6"/>
      <c r="G615" s="11"/>
      <c r="H615" s="11"/>
      <c r="I615" s="6"/>
      <c r="J615" s="6"/>
      <c r="K615" s="6"/>
      <c r="L615" s="6"/>
      <c r="M615" s="6"/>
      <c r="N615" s="6"/>
      <c r="O615" s="6"/>
      <c r="P615" s="6"/>
      <c r="Q615" s="6"/>
    </row>
    <row r="616" ht="19.5" customHeight="1">
      <c r="A616" s="22"/>
      <c r="B616" s="6"/>
      <c r="C616" s="11"/>
      <c r="D616" s="11"/>
      <c r="E616" s="11"/>
      <c r="F616" s="6"/>
      <c r="G616" s="11"/>
      <c r="H616" s="11"/>
      <c r="I616" s="6"/>
      <c r="J616" s="6"/>
      <c r="K616" s="6"/>
      <c r="L616" s="6"/>
      <c r="M616" s="6"/>
      <c r="N616" s="6"/>
      <c r="O616" s="6"/>
      <c r="P616" s="6"/>
      <c r="Q616" s="6"/>
    </row>
    <row r="617" ht="19.5" customHeight="1">
      <c r="A617" s="22"/>
      <c r="B617" s="6"/>
      <c r="C617" s="11"/>
      <c r="D617" s="11"/>
      <c r="E617" s="11"/>
      <c r="F617" s="6"/>
      <c r="G617" s="11"/>
      <c r="H617" s="11"/>
      <c r="I617" s="6"/>
      <c r="J617" s="6"/>
      <c r="K617" s="6"/>
      <c r="L617" s="6"/>
      <c r="M617" s="6"/>
      <c r="N617" s="6"/>
      <c r="O617" s="6"/>
      <c r="P617" s="6"/>
      <c r="Q617" s="6"/>
    </row>
    <row r="618" ht="19.5" customHeight="1">
      <c r="A618" s="22"/>
      <c r="B618" s="6"/>
      <c r="C618" s="11"/>
      <c r="D618" s="11"/>
      <c r="E618" s="11"/>
      <c r="F618" s="6"/>
      <c r="G618" s="11"/>
      <c r="H618" s="11"/>
      <c r="I618" s="6"/>
      <c r="J618" s="6"/>
      <c r="K618" s="6"/>
      <c r="L618" s="6"/>
      <c r="M618" s="6"/>
      <c r="N618" s="6"/>
      <c r="O618" s="6"/>
      <c r="P618" s="6"/>
      <c r="Q618" s="6"/>
    </row>
    <row r="619" ht="19.5" customHeight="1">
      <c r="A619" s="22"/>
      <c r="B619" s="6"/>
      <c r="C619" s="11"/>
      <c r="D619" s="11"/>
      <c r="E619" s="11"/>
      <c r="F619" s="6"/>
      <c r="G619" s="11"/>
      <c r="H619" s="11"/>
      <c r="I619" s="6"/>
      <c r="J619" s="6"/>
      <c r="K619" s="6"/>
      <c r="L619" s="6"/>
      <c r="M619" s="6"/>
      <c r="N619" s="6"/>
      <c r="O619" s="6"/>
      <c r="P619" s="6"/>
      <c r="Q619" s="6"/>
    </row>
    <row r="620" ht="19.5" customHeight="1">
      <c r="A620" s="22"/>
      <c r="B620" s="6"/>
      <c r="C620" s="11"/>
      <c r="D620" s="11"/>
      <c r="E620" s="11"/>
      <c r="F620" s="6"/>
      <c r="G620" s="11"/>
      <c r="H620" s="11"/>
      <c r="I620" s="6"/>
      <c r="J620" s="6"/>
      <c r="K620" s="6"/>
      <c r="L620" s="6"/>
      <c r="M620" s="6"/>
      <c r="N620" s="6"/>
      <c r="O620" s="6"/>
      <c r="P620" s="6"/>
      <c r="Q620" s="6"/>
    </row>
    <row r="621" ht="19.5" customHeight="1">
      <c r="A621" s="22"/>
      <c r="B621" s="6"/>
      <c r="C621" s="11"/>
      <c r="D621" s="11"/>
      <c r="E621" s="11"/>
      <c r="F621" s="6"/>
      <c r="G621" s="11"/>
      <c r="H621" s="11"/>
      <c r="I621" s="6"/>
      <c r="J621" s="6"/>
      <c r="K621" s="6"/>
      <c r="L621" s="6"/>
      <c r="M621" s="6"/>
      <c r="N621" s="6"/>
      <c r="O621" s="6"/>
      <c r="P621" s="6"/>
      <c r="Q621" s="6"/>
    </row>
    <row r="622" ht="19.5" customHeight="1">
      <c r="A622" s="22"/>
      <c r="B622" s="6"/>
      <c r="C622" s="11"/>
      <c r="D622" s="11"/>
      <c r="E622" s="11"/>
      <c r="F622" s="6"/>
      <c r="G622" s="11"/>
      <c r="H622" s="11"/>
      <c r="I622" s="6"/>
      <c r="J622" s="6"/>
      <c r="K622" s="6"/>
      <c r="L622" s="6"/>
      <c r="M622" s="6"/>
      <c r="N622" s="6"/>
      <c r="O622" s="6"/>
      <c r="P622" s="6"/>
      <c r="Q622" s="6"/>
    </row>
    <row r="623" ht="19.5" customHeight="1">
      <c r="A623" s="22"/>
      <c r="B623" s="6"/>
      <c r="C623" s="11"/>
      <c r="D623" s="11"/>
      <c r="E623" s="11"/>
      <c r="F623" s="6"/>
      <c r="G623" s="11"/>
      <c r="H623" s="11"/>
      <c r="I623" s="6"/>
      <c r="J623" s="6"/>
      <c r="K623" s="6"/>
      <c r="L623" s="6"/>
      <c r="M623" s="6"/>
      <c r="N623" s="6"/>
      <c r="O623" s="6"/>
      <c r="P623" s="6"/>
      <c r="Q623" s="6"/>
    </row>
    <row r="624" ht="19.5" customHeight="1">
      <c r="A624" s="22"/>
      <c r="B624" s="6"/>
      <c r="C624" s="11"/>
      <c r="D624" s="11"/>
      <c r="E624" s="11"/>
      <c r="F624" s="6"/>
      <c r="G624" s="11"/>
      <c r="H624" s="11"/>
      <c r="I624" s="6"/>
      <c r="J624" s="6"/>
      <c r="K624" s="6"/>
      <c r="L624" s="6"/>
      <c r="M624" s="6"/>
      <c r="N624" s="6"/>
      <c r="O624" s="6"/>
      <c r="P624" s="6"/>
      <c r="Q624" s="6"/>
    </row>
    <row r="625" ht="19.5" customHeight="1">
      <c r="A625" s="22"/>
      <c r="B625" s="6"/>
      <c r="C625" s="11"/>
      <c r="D625" s="11"/>
      <c r="E625" s="11"/>
      <c r="F625" s="6"/>
      <c r="G625" s="11"/>
      <c r="H625" s="11"/>
      <c r="I625" s="6"/>
      <c r="J625" s="6"/>
      <c r="K625" s="6"/>
      <c r="L625" s="6"/>
      <c r="M625" s="6"/>
      <c r="N625" s="6"/>
      <c r="O625" s="6"/>
      <c r="P625" s="6"/>
      <c r="Q625" s="6"/>
    </row>
    <row r="626" ht="19.5" customHeight="1">
      <c r="A626" s="22"/>
      <c r="B626" s="6"/>
      <c r="C626" s="11"/>
      <c r="D626" s="11"/>
      <c r="E626" s="11"/>
      <c r="F626" s="6"/>
      <c r="G626" s="11"/>
      <c r="H626" s="11"/>
      <c r="I626" s="6"/>
      <c r="J626" s="6"/>
      <c r="K626" s="6"/>
      <c r="L626" s="6"/>
      <c r="M626" s="6"/>
      <c r="N626" s="6"/>
      <c r="O626" s="6"/>
      <c r="P626" s="6"/>
      <c r="Q626" s="6"/>
    </row>
    <row r="627" ht="19.5" customHeight="1">
      <c r="A627" s="22"/>
      <c r="B627" s="6"/>
      <c r="C627" s="11"/>
      <c r="D627" s="11"/>
      <c r="E627" s="11"/>
      <c r="F627" s="6"/>
      <c r="G627" s="11"/>
      <c r="H627" s="11"/>
      <c r="I627" s="6"/>
      <c r="J627" s="6"/>
      <c r="K627" s="6"/>
      <c r="L627" s="6"/>
      <c r="M627" s="6"/>
      <c r="N627" s="6"/>
      <c r="O627" s="6"/>
      <c r="P627" s="6"/>
      <c r="Q627" s="6"/>
    </row>
    <row r="628" ht="19.5" customHeight="1">
      <c r="A628" s="22"/>
      <c r="B628" s="6"/>
      <c r="C628" s="11"/>
      <c r="D628" s="11"/>
      <c r="E628" s="11"/>
      <c r="F628" s="6"/>
      <c r="G628" s="11"/>
      <c r="H628" s="11"/>
      <c r="I628" s="6"/>
      <c r="J628" s="6"/>
      <c r="K628" s="6"/>
      <c r="L628" s="6"/>
      <c r="M628" s="6"/>
      <c r="N628" s="6"/>
      <c r="O628" s="6"/>
      <c r="P628" s="6"/>
      <c r="Q628" s="6"/>
    </row>
    <row r="629" ht="19.5" customHeight="1">
      <c r="A629" s="22"/>
      <c r="B629" s="6"/>
      <c r="C629" s="11"/>
      <c r="D629" s="11"/>
      <c r="E629" s="11"/>
      <c r="F629" s="6"/>
      <c r="G629" s="11"/>
      <c r="H629" s="11"/>
      <c r="I629" s="6"/>
      <c r="J629" s="6"/>
      <c r="K629" s="6"/>
      <c r="L629" s="6"/>
      <c r="M629" s="6"/>
      <c r="N629" s="6"/>
      <c r="O629" s="6"/>
      <c r="P629" s="6"/>
      <c r="Q629" s="6"/>
    </row>
    <row r="630" ht="19.5" customHeight="1">
      <c r="A630" s="22"/>
      <c r="B630" s="6"/>
      <c r="C630" s="11"/>
      <c r="D630" s="11"/>
      <c r="E630" s="11"/>
      <c r="F630" s="6"/>
      <c r="G630" s="11"/>
      <c r="H630" s="11"/>
      <c r="I630" s="6"/>
      <c r="J630" s="6"/>
      <c r="K630" s="6"/>
      <c r="L630" s="6"/>
      <c r="M630" s="6"/>
      <c r="N630" s="6"/>
      <c r="O630" s="6"/>
      <c r="P630" s="6"/>
      <c r="Q630" s="6"/>
    </row>
    <row r="631" ht="19.5" customHeight="1">
      <c r="A631" s="22"/>
      <c r="B631" s="6"/>
      <c r="C631" s="11"/>
      <c r="D631" s="11"/>
      <c r="E631" s="11"/>
      <c r="F631" s="6"/>
      <c r="G631" s="11"/>
      <c r="H631" s="11"/>
      <c r="I631" s="6"/>
      <c r="J631" s="6"/>
      <c r="K631" s="6"/>
      <c r="L631" s="6"/>
      <c r="M631" s="6"/>
      <c r="N631" s="6"/>
      <c r="O631" s="6"/>
      <c r="P631" s="6"/>
      <c r="Q631" s="6"/>
    </row>
    <row r="632" ht="19.5" customHeight="1">
      <c r="A632" s="22"/>
      <c r="B632" s="6"/>
      <c r="C632" s="11"/>
      <c r="D632" s="11"/>
      <c r="E632" s="11"/>
      <c r="F632" s="6"/>
      <c r="G632" s="11"/>
      <c r="H632" s="11"/>
      <c r="I632" s="6"/>
      <c r="J632" s="6"/>
      <c r="K632" s="6"/>
      <c r="L632" s="6"/>
      <c r="M632" s="6"/>
      <c r="N632" s="6"/>
      <c r="O632" s="6"/>
      <c r="P632" s="6"/>
      <c r="Q632" s="6"/>
    </row>
    <row r="633" ht="19.5" customHeight="1">
      <c r="A633" s="22"/>
      <c r="B633" s="6"/>
      <c r="C633" s="11"/>
      <c r="D633" s="11"/>
      <c r="E633" s="11"/>
      <c r="F633" s="6"/>
      <c r="G633" s="11"/>
      <c r="H633" s="11"/>
      <c r="I633" s="6"/>
      <c r="J633" s="6"/>
      <c r="K633" s="6"/>
      <c r="L633" s="6"/>
      <c r="M633" s="6"/>
      <c r="N633" s="6"/>
      <c r="O633" s="6"/>
      <c r="P633" s="6"/>
      <c r="Q633" s="6"/>
    </row>
    <row r="634" ht="19.5" customHeight="1">
      <c r="A634" s="22"/>
      <c r="B634" s="6"/>
      <c r="C634" s="11"/>
      <c r="D634" s="11"/>
      <c r="E634" s="11"/>
      <c r="F634" s="6"/>
      <c r="G634" s="11"/>
      <c r="H634" s="11"/>
      <c r="I634" s="6"/>
      <c r="J634" s="6"/>
      <c r="K634" s="6"/>
      <c r="L634" s="6"/>
      <c r="M634" s="6"/>
      <c r="N634" s="6"/>
      <c r="O634" s="6"/>
      <c r="P634" s="6"/>
      <c r="Q634" s="6"/>
    </row>
    <row r="635" ht="19.5" customHeight="1">
      <c r="A635" s="22"/>
      <c r="B635" s="6"/>
      <c r="C635" s="11"/>
      <c r="D635" s="11"/>
      <c r="E635" s="11"/>
      <c r="F635" s="6"/>
      <c r="G635" s="11"/>
      <c r="H635" s="11"/>
      <c r="I635" s="6"/>
      <c r="J635" s="6"/>
      <c r="K635" s="6"/>
      <c r="L635" s="6"/>
      <c r="M635" s="6"/>
      <c r="N635" s="6"/>
      <c r="O635" s="6"/>
      <c r="P635" s="6"/>
      <c r="Q635" s="6"/>
    </row>
    <row r="636" ht="19.5" customHeight="1">
      <c r="A636" s="22"/>
      <c r="B636" s="6"/>
      <c r="C636" s="11"/>
      <c r="D636" s="11"/>
      <c r="E636" s="11"/>
      <c r="F636" s="6"/>
      <c r="G636" s="11"/>
      <c r="H636" s="11"/>
      <c r="I636" s="6"/>
      <c r="J636" s="6"/>
      <c r="K636" s="6"/>
      <c r="L636" s="6"/>
      <c r="M636" s="6"/>
      <c r="N636" s="6"/>
      <c r="O636" s="6"/>
      <c r="P636" s="6"/>
      <c r="Q636" s="6"/>
    </row>
    <row r="637" ht="19.5" customHeight="1">
      <c r="A637" s="22"/>
      <c r="B637" s="6"/>
      <c r="C637" s="11"/>
      <c r="D637" s="11"/>
      <c r="E637" s="11"/>
      <c r="F637" s="6"/>
      <c r="G637" s="11"/>
      <c r="H637" s="11"/>
      <c r="I637" s="6"/>
      <c r="J637" s="6"/>
      <c r="K637" s="6"/>
      <c r="L637" s="6"/>
      <c r="M637" s="6"/>
      <c r="N637" s="6"/>
      <c r="O637" s="6"/>
      <c r="P637" s="6"/>
      <c r="Q637" s="6"/>
    </row>
    <row r="638" ht="19.5" customHeight="1">
      <c r="A638" s="22"/>
      <c r="B638" s="6"/>
      <c r="C638" s="11"/>
      <c r="D638" s="11"/>
      <c r="E638" s="11"/>
      <c r="F638" s="6"/>
      <c r="G638" s="11"/>
      <c r="H638" s="11"/>
      <c r="I638" s="6"/>
      <c r="J638" s="6"/>
      <c r="K638" s="6"/>
      <c r="L638" s="6"/>
      <c r="M638" s="6"/>
      <c r="N638" s="6"/>
      <c r="O638" s="6"/>
      <c r="P638" s="6"/>
      <c r="Q638" s="6"/>
    </row>
    <row r="639" ht="19.5" customHeight="1">
      <c r="A639" s="22"/>
      <c r="B639" s="6"/>
      <c r="C639" s="11"/>
      <c r="D639" s="11"/>
      <c r="E639" s="11"/>
      <c r="F639" s="6"/>
      <c r="G639" s="11"/>
      <c r="H639" s="11"/>
      <c r="I639" s="6"/>
      <c r="J639" s="6"/>
      <c r="K639" s="6"/>
      <c r="L639" s="6"/>
      <c r="M639" s="6"/>
      <c r="N639" s="6"/>
      <c r="O639" s="6"/>
      <c r="P639" s="6"/>
      <c r="Q639" s="6"/>
    </row>
    <row r="640" ht="19.5" customHeight="1">
      <c r="A640" s="22"/>
      <c r="B640" s="6"/>
      <c r="C640" s="11"/>
      <c r="D640" s="11"/>
      <c r="E640" s="11"/>
      <c r="F640" s="6"/>
      <c r="G640" s="11"/>
      <c r="H640" s="11"/>
      <c r="I640" s="6"/>
      <c r="J640" s="6"/>
      <c r="K640" s="6"/>
      <c r="L640" s="6"/>
      <c r="M640" s="6"/>
      <c r="N640" s="6"/>
      <c r="O640" s="6"/>
      <c r="P640" s="6"/>
      <c r="Q640" s="6"/>
    </row>
    <row r="641" ht="19.5" customHeight="1">
      <c r="A641" s="22"/>
      <c r="B641" s="6"/>
      <c r="C641" s="11"/>
      <c r="D641" s="11"/>
      <c r="E641" s="11"/>
      <c r="F641" s="6"/>
      <c r="G641" s="11"/>
      <c r="H641" s="11"/>
      <c r="I641" s="6"/>
      <c r="J641" s="6"/>
      <c r="K641" s="6"/>
      <c r="L641" s="6"/>
      <c r="M641" s="6"/>
      <c r="N641" s="6"/>
      <c r="O641" s="6"/>
      <c r="P641" s="6"/>
      <c r="Q641" s="6"/>
    </row>
    <row r="642" ht="19.5" customHeight="1">
      <c r="A642" s="22"/>
      <c r="B642" s="6"/>
      <c r="C642" s="11"/>
      <c r="D642" s="11"/>
      <c r="E642" s="11"/>
      <c r="F642" s="6"/>
      <c r="G642" s="11"/>
      <c r="H642" s="11"/>
      <c r="I642" s="6"/>
      <c r="J642" s="6"/>
      <c r="K642" s="6"/>
      <c r="L642" s="6"/>
      <c r="M642" s="6"/>
      <c r="N642" s="6"/>
      <c r="O642" s="6"/>
      <c r="P642" s="6"/>
      <c r="Q642" s="6"/>
    </row>
    <row r="643" ht="19.5" customHeight="1">
      <c r="A643" s="22"/>
      <c r="B643" s="6"/>
      <c r="C643" s="11"/>
      <c r="D643" s="11"/>
      <c r="E643" s="11"/>
      <c r="F643" s="6"/>
      <c r="G643" s="11"/>
      <c r="H643" s="11"/>
      <c r="I643" s="6"/>
      <c r="J643" s="6"/>
      <c r="K643" s="6"/>
      <c r="L643" s="6"/>
      <c r="M643" s="6"/>
      <c r="N643" s="6"/>
      <c r="O643" s="6"/>
      <c r="P643" s="6"/>
      <c r="Q643" s="6"/>
    </row>
    <row r="644" ht="19.5" customHeight="1">
      <c r="A644" s="22"/>
      <c r="B644" s="6"/>
      <c r="C644" s="11"/>
      <c r="D644" s="11"/>
      <c r="E644" s="11"/>
      <c r="F644" s="6"/>
      <c r="G644" s="11"/>
      <c r="H644" s="11"/>
      <c r="I644" s="6"/>
      <c r="J644" s="6"/>
      <c r="K644" s="6"/>
      <c r="L644" s="6"/>
      <c r="M644" s="6"/>
      <c r="N644" s="6"/>
      <c r="O644" s="6"/>
      <c r="P644" s="6"/>
      <c r="Q644" s="6"/>
    </row>
    <row r="645" ht="19.5" customHeight="1">
      <c r="A645" s="22"/>
      <c r="B645" s="6"/>
      <c r="C645" s="11"/>
      <c r="D645" s="11"/>
      <c r="E645" s="11"/>
      <c r="F645" s="6"/>
      <c r="G645" s="11"/>
      <c r="H645" s="11"/>
      <c r="I645" s="6"/>
      <c r="J645" s="6"/>
      <c r="K645" s="6"/>
      <c r="L645" s="6"/>
      <c r="M645" s="6"/>
      <c r="N645" s="6"/>
      <c r="O645" s="6"/>
      <c r="P645" s="6"/>
      <c r="Q645" s="6"/>
    </row>
    <row r="646" ht="19.5" customHeight="1">
      <c r="A646" s="22"/>
      <c r="B646" s="6"/>
      <c r="C646" s="11"/>
      <c r="D646" s="11"/>
      <c r="E646" s="11"/>
      <c r="F646" s="6"/>
      <c r="G646" s="11"/>
      <c r="H646" s="11"/>
      <c r="I646" s="6"/>
      <c r="J646" s="6"/>
      <c r="K646" s="6"/>
      <c r="L646" s="6"/>
      <c r="M646" s="6"/>
      <c r="N646" s="6"/>
      <c r="O646" s="6"/>
      <c r="P646" s="6"/>
      <c r="Q646" s="6"/>
    </row>
    <row r="647" ht="19.5" customHeight="1">
      <c r="A647" s="22"/>
      <c r="B647" s="6"/>
      <c r="C647" s="11"/>
      <c r="D647" s="11"/>
      <c r="E647" s="11"/>
      <c r="F647" s="6"/>
      <c r="G647" s="11"/>
      <c r="H647" s="11"/>
      <c r="I647" s="6"/>
      <c r="J647" s="6"/>
      <c r="K647" s="6"/>
      <c r="L647" s="6"/>
      <c r="M647" s="6"/>
      <c r="N647" s="6"/>
      <c r="O647" s="6"/>
      <c r="P647" s="6"/>
      <c r="Q647" s="6"/>
    </row>
    <row r="648" ht="19.5" customHeight="1">
      <c r="A648" s="22"/>
      <c r="B648" s="6"/>
      <c r="C648" s="11"/>
      <c r="D648" s="11"/>
      <c r="E648" s="11"/>
      <c r="F648" s="6"/>
      <c r="G648" s="11"/>
      <c r="H648" s="11"/>
      <c r="I648" s="6"/>
      <c r="J648" s="6"/>
      <c r="K648" s="6"/>
      <c r="L648" s="6"/>
      <c r="M648" s="6"/>
      <c r="N648" s="6"/>
      <c r="O648" s="6"/>
      <c r="P648" s="6"/>
      <c r="Q648" s="6"/>
    </row>
    <row r="649" ht="19.5" customHeight="1">
      <c r="A649" s="22"/>
      <c r="B649" s="6"/>
      <c r="C649" s="11"/>
      <c r="D649" s="11"/>
      <c r="E649" s="11"/>
      <c r="F649" s="6"/>
      <c r="G649" s="11"/>
      <c r="H649" s="11"/>
      <c r="I649" s="6"/>
      <c r="J649" s="6"/>
      <c r="K649" s="6"/>
      <c r="L649" s="6"/>
      <c r="M649" s="6"/>
      <c r="N649" s="6"/>
      <c r="O649" s="6"/>
      <c r="P649" s="6"/>
      <c r="Q649" s="6"/>
    </row>
    <row r="650" ht="19.5" customHeight="1">
      <c r="A650" s="22"/>
      <c r="B650" s="6"/>
      <c r="C650" s="11"/>
      <c r="D650" s="11"/>
      <c r="E650" s="11"/>
      <c r="F650" s="6"/>
      <c r="G650" s="11"/>
      <c r="H650" s="11"/>
      <c r="I650" s="6"/>
      <c r="J650" s="6"/>
      <c r="K650" s="6"/>
      <c r="L650" s="6"/>
      <c r="M650" s="6"/>
      <c r="N650" s="6"/>
      <c r="O650" s="6"/>
      <c r="P650" s="6"/>
      <c r="Q650" s="6"/>
    </row>
    <row r="651" ht="19.5" customHeight="1">
      <c r="A651" s="22"/>
      <c r="B651" s="6"/>
      <c r="C651" s="11"/>
      <c r="D651" s="11"/>
      <c r="E651" s="11"/>
      <c r="F651" s="6"/>
      <c r="G651" s="11"/>
      <c r="H651" s="11"/>
      <c r="I651" s="6"/>
      <c r="J651" s="6"/>
      <c r="K651" s="6"/>
      <c r="L651" s="6"/>
      <c r="M651" s="6"/>
      <c r="N651" s="6"/>
      <c r="O651" s="6"/>
      <c r="P651" s="6"/>
      <c r="Q651" s="6"/>
    </row>
    <row r="652" ht="19.5" customHeight="1">
      <c r="A652" s="22"/>
      <c r="B652" s="6"/>
      <c r="C652" s="11"/>
      <c r="D652" s="11"/>
      <c r="E652" s="11"/>
      <c r="F652" s="6"/>
      <c r="G652" s="11"/>
      <c r="H652" s="11"/>
      <c r="I652" s="6"/>
      <c r="J652" s="6"/>
      <c r="K652" s="6"/>
      <c r="L652" s="6"/>
      <c r="M652" s="6"/>
      <c r="N652" s="6"/>
      <c r="O652" s="6"/>
      <c r="P652" s="6"/>
      <c r="Q652" s="6"/>
    </row>
    <row r="653" ht="19.5" customHeight="1">
      <c r="A653" s="22"/>
      <c r="B653" s="6"/>
      <c r="C653" s="11"/>
      <c r="D653" s="11"/>
      <c r="E653" s="11"/>
      <c r="F653" s="6"/>
      <c r="G653" s="11"/>
      <c r="H653" s="11"/>
      <c r="I653" s="6"/>
      <c r="J653" s="6"/>
      <c r="K653" s="6"/>
      <c r="L653" s="6"/>
      <c r="M653" s="6"/>
      <c r="N653" s="6"/>
      <c r="O653" s="6"/>
      <c r="P653" s="6"/>
      <c r="Q653" s="6"/>
    </row>
    <row r="654" ht="19.5" customHeight="1">
      <c r="A654" s="22"/>
      <c r="B654" s="6"/>
      <c r="C654" s="11"/>
      <c r="D654" s="11"/>
      <c r="E654" s="11"/>
      <c r="F654" s="6"/>
      <c r="G654" s="11"/>
      <c r="H654" s="11"/>
      <c r="I654" s="6"/>
      <c r="J654" s="6"/>
      <c r="K654" s="6"/>
      <c r="L654" s="6"/>
      <c r="M654" s="6"/>
      <c r="N654" s="6"/>
      <c r="O654" s="6"/>
      <c r="P654" s="6"/>
      <c r="Q654" s="6"/>
    </row>
    <row r="655" ht="19.5" customHeight="1">
      <c r="A655" s="22"/>
      <c r="B655" s="6"/>
      <c r="C655" s="11"/>
      <c r="D655" s="11"/>
      <c r="E655" s="11"/>
      <c r="F655" s="6"/>
      <c r="G655" s="11"/>
      <c r="H655" s="11"/>
      <c r="I655" s="6"/>
      <c r="J655" s="6"/>
      <c r="K655" s="6"/>
      <c r="L655" s="6"/>
      <c r="M655" s="6"/>
      <c r="N655" s="6"/>
      <c r="O655" s="6"/>
      <c r="P655" s="6"/>
      <c r="Q655" s="6"/>
    </row>
    <row r="656" ht="19.5" customHeight="1">
      <c r="A656" s="22"/>
      <c r="B656" s="6"/>
      <c r="C656" s="11"/>
      <c r="D656" s="11"/>
      <c r="E656" s="11"/>
      <c r="F656" s="6"/>
      <c r="G656" s="11"/>
      <c r="H656" s="11"/>
      <c r="I656" s="6"/>
      <c r="J656" s="6"/>
      <c r="K656" s="6"/>
      <c r="L656" s="6"/>
      <c r="M656" s="6"/>
      <c r="N656" s="6"/>
      <c r="O656" s="6"/>
      <c r="P656" s="6"/>
      <c r="Q656" s="6"/>
    </row>
    <row r="657" ht="19.5" customHeight="1">
      <c r="A657" s="22"/>
      <c r="B657" s="6"/>
      <c r="C657" s="11"/>
      <c r="D657" s="11"/>
      <c r="E657" s="11"/>
      <c r="F657" s="6"/>
      <c r="G657" s="11"/>
      <c r="H657" s="11"/>
      <c r="I657" s="6"/>
      <c r="J657" s="6"/>
      <c r="K657" s="6"/>
      <c r="L657" s="6"/>
      <c r="M657" s="6"/>
      <c r="N657" s="6"/>
      <c r="O657" s="6"/>
      <c r="P657" s="6"/>
      <c r="Q657" s="6"/>
    </row>
    <row r="658" ht="19.5" customHeight="1">
      <c r="A658" s="22"/>
      <c r="B658" s="6"/>
      <c r="C658" s="11"/>
      <c r="D658" s="11"/>
      <c r="E658" s="11"/>
      <c r="F658" s="6"/>
      <c r="G658" s="11"/>
      <c r="H658" s="11"/>
      <c r="I658" s="6"/>
      <c r="J658" s="6"/>
      <c r="K658" s="6"/>
      <c r="L658" s="6"/>
      <c r="M658" s="6"/>
      <c r="N658" s="6"/>
      <c r="O658" s="6"/>
      <c r="P658" s="6"/>
      <c r="Q658" s="6"/>
    </row>
    <row r="659" ht="19.5" customHeight="1">
      <c r="A659" s="22"/>
      <c r="B659" s="6"/>
      <c r="C659" s="11"/>
      <c r="D659" s="11"/>
      <c r="E659" s="11"/>
      <c r="F659" s="6"/>
      <c r="G659" s="11"/>
      <c r="H659" s="11"/>
      <c r="I659" s="6"/>
      <c r="J659" s="6"/>
      <c r="K659" s="6"/>
      <c r="L659" s="6"/>
      <c r="M659" s="6"/>
      <c r="N659" s="6"/>
      <c r="O659" s="6"/>
      <c r="P659" s="6"/>
      <c r="Q659" s="6"/>
    </row>
    <row r="660" ht="19.5" customHeight="1">
      <c r="A660" s="22"/>
      <c r="B660" s="6"/>
      <c r="C660" s="11"/>
      <c r="D660" s="11"/>
      <c r="E660" s="11"/>
      <c r="F660" s="6"/>
      <c r="G660" s="11"/>
      <c r="H660" s="11"/>
      <c r="I660" s="6"/>
      <c r="J660" s="6"/>
      <c r="K660" s="6"/>
      <c r="L660" s="6"/>
      <c r="M660" s="6"/>
      <c r="N660" s="6"/>
      <c r="O660" s="6"/>
      <c r="P660" s="6"/>
      <c r="Q660" s="6"/>
    </row>
    <row r="661" ht="19.5" customHeight="1">
      <c r="A661" s="22"/>
      <c r="B661" s="6"/>
      <c r="C661" s="11"/>
      <c r="D661" s="11"/>
      <c r="E661" s="11"/>
      <c r="F661" s="6"/>
      <c r="G661" s="11"/>
      <c r="H661" s="11"/>
      <c r="I661" s="6"/>
      <c r="J661" s="6"/>
      <c r="K661" s="6"/>
      <c r="L661" s="6"/>
      <c r="M661" s="6"/>
      <c r="N661" s="6"/>
      <c r="O661" s="6"/>
      <c r="P661" s="6"/>
      <c r="Q661" s="6"/>
    </row>
    <row r="662" ht="19.5" customHeight="1">
      <c r="A662" s="22"/>
      <c r="B662" s="6"/>
      <c r="C662" s="11"/>
      <c r="D662" s="11"/>
      <c r="E662" s="11"/>
      <c r="F662" s="6"/>
      <c r="G662" s="11"/>
      <c r="H662" s="11"/>
      <c r="I662" s="6"/>
      <c r="J662" s="6"/>
      <c r="K662" s="6"/>
      <c r="L662" s="6"/>
      <c r="M662" s="6"/>
      <c r="N662" s="6"/>
      <c r="O662" s="6"/>
      <c r="P662" s="6"/>
      <c r="Q662" s="6"/>
    </row>
    <row r="663" ht="19.5" customHeight="1">
      <c r="A663" s="22"/>
      <c r="B663" s="6"/>
      <c r="C663" s="11"/>
      <c r="D663" s="11"/>
      <c r="E663" s="11"/>
      <c r="F663" s="6"/>
      <c r="G663" s="11"/>
      <c r="H663" s="11"/>
      <c r="I663" s="6"/>
      <c r="J663" s="6"/>
      <c r="K663" s="6"/>
      <c r="L663" s="6"/>
      <c r="M663" s="6"/>
      <c r="N663" s="6"/>
      <c r="O663" s="6"/>
      <c r="P663" s="6"/>
      <c r="Q663" s="6"/>
    </row>
    <row r="664" ht="19.5" customHeight="1">
      <c r="A664" s="22"/>
      <c r="B664" s="6"/>
      <c r="C664" s="11"/>
      <c r="D664" s="11"/>
      <c r="E664" s="11"/>
      <c r="F664" s="6"/>
      <c r="G664" s="11"/>
      <c r="H664" s="11"/>
      <c r="I664" s="6"/>
      <c r="J664" s="6"/>
      <c r="K664" s="6"/>
      <c r="L664" s="6"/>
      <c r="M664" s="6"/>
      <c r="N664" s="6"/>
      <c r="O664" s="6"/>
      <c r="P664" s="6"/>
      <c r="Q664" s="6"/>
    </row>
    <row r="665" ht="19.5" customHeight="1">
      <c r="A665" s="22"/>
      <c r="B665" s="6"/>
      <c r="C665" s="11"/>
      <c r="D665" s="11"/>
      <c r="E665" s="11"/>
      <c r="F665" s="6"/>
      <c r="G665" s="11"/>
      <c r="H665" s="11"/>
      <c r="I665" s="6"/>
      <c r="J665" s="6"/>
      <c r="K665" s="6"/>
      <c r="L665" s="6"/>
      <c r="M665" s="6"/>
      <c r="N665" s="6"/>
      <c r="O665" s="6"/>
      <c r="P665" s="6"/>
      <c r="Q665" s="6"/>
    </row>
    <row r="666" ht="19.5" customHeight="1">
      <c r="A666" s="22"/>
      <c r="B666" s="6"/>
      <c r="C666" s="11"/>
      <c r="D666" s="11"/>
      <c r="E666" s="11"/>
      <c r="F666" s="6"/>
      <c r="G666" s="11"/>
      <c r="H666" s="11"/>
      <c r="I666" s="6"/>
      <c r="J666" s="6"/>
      <c r="K666" s="6"/>
      <c r="L666" s="6"/>
      <c r="M666" s="6"/>
      <c r="N666" s="6"/>
      <c r="O666" s="6"/>
      <c r="P666" s="6"/>
      <c r="Q666" s="6"/>
    </row>
    <row r="667" ht="19.5" customHeight="1">
      <c r="A667" s="22"/>
      <c r="B667" s="6"/>
      <c r="C667" s="11"/>
      <c r="D667" s="11"/>
      <c r="E667" s="11"/>
      <c r="F667" s="6"/>
      <c r="G667" s="11"/>
      <c r="H667" s="11"/>
      <c r="I667" s="6"/>
      <c r="J667" s="6"/>
      <c r="K667" s="6"/>
      <c r="L667" s="6"/>
      <c r="M667" s="6"/>
      <c r="N667" s="6"/>
      <c r="O667" s="6"/>
      <c r="P667" s="6"/>
      <c r="Q667" s="6"/>
    </row>
    <row r="668" ht="19.5" customHeight="1">
      <c r="A668" s="22"/>
      <c r="B668" s="6"/>
      <c r="C668" s="11"/>
      <c r="D668" s="11"/>
      <c r="E668" s="11"/>
      <c r="F668" s="6"/>
      <c r="G668" s="11"/>
      <c r="H668" s="11"/>
      <c r="I668" s="6"/>
      <c r="J668" s="6"/>
      <c r="K668" s="6"/>
      <c r="L668" s="6"/>
      <c r="M668" s="6"/>
      <c r="N668" s="6"/>
      <c r="O668" s="6"/>
      <c r="P668" s="6"/>
      <c r="Q668" s="6"/>
    </row>
    <row r="669" ht="19.5" customHeight="1">
      <c r="A669" s="22"/>
      <c r="B669" s="6"/>
      <c r="C669" s="11"/>
      <c r="D669" s="11"/>
      <c r="E669" s="11"/>
      <c r="F669" s="6"/>
      <c r="G669" s="11"/>
      <c r="H669" s="11"/>
      <c r="I669" s="6"/>
      <c r="J669" s="6"/>
      <c r="K669" s="6"/>
      <c r="L669" s="6"/>
      <c r="M669" s="6"/>
      <c r="N669" s="6"/>
      <c r="O669" s="6"/>
      <c r="P669" s="6"/>
      <c r="Q669" s="6"/>
    </row>
    <row r="670" ht="19.5" customHeight="1">
      <c r="A670" s="22"/>
      <c r="B670" s="6"/>
      <c r="C670" s="11"/>
      <c r="D670" s="11"/>
      <c r="E670" s="11"/>
      <c r="F670" s="6"/>
      <c r="G670" s="11"/>
      <c r="H670" s="11"/>
      <c r="I670" s="6"/>
      <c r="J670" s="6"/>
      <c r="K670" s="6"/>
      <c r="L670" s="6"/>
      <c r="M670" s="6"/>
      <c r="N670" s="6"/>
      <c r="O670" s="6"/>
      <c r="P670" s="6"/>
      <c r="Q670" s="6"/>
    </row>
    <row r="671" ht="19.5" customHeight="1">
      <c r="A671" s="22"/>
      <c r="B671" s="6"/>
      <c r="C671" s="11"/>
      <c r="D671" s="11"/>
      <c r="E671" s="11"/>
      <c r="F671" s="6"/>
      <c r="G671" s="11"/>
      <c r="H671" s="11"/>
      <c r="I671" s="6"/>
      <c r="J671" s="6"/>
      <c r="K671" s="6"/>
      <c r="L671" s="6"/>
      <c r="M671" s="6"/>
      <c r="N671" s="6"/>
      <c r="O671" s="6"/>
      <c r="P671" s="6"/>
      <c r="Q671" s="6"/>
    </row>
    <row r="672" ht="19.5" customHeight="1">
      <c r="A672" s="22"/>
      <c r="B672" s="6"/>
      <c r="C672" s="11"/>
      <c r="D672" s="11"/>
      <c r="E672" s="11"/>
      <c r="F672" s="6"/>
      <c r="G672" s="11"/>
      <c r="H672" s="11"/>
      <c r="I672" s="6"/>
      <c r="J672" s="6"/>
      <c r="K672" s="6"/>
      <c r="L672" s="6"/>
      <c r="M672" s="6"/>
      <c r="N672" s="6"/>
      <c r="O672" s="6"/>
      <c r="P672" s="6"/>
      <c r="Q672" s="6"/>
    </row>
    <row r="673" ht="19.5" customHeight="1">
      <c r="A673" s="22"/>
      <c r="B673" s="6"/>
      <c r="C673" s="11"/>
      <c r="D673" s="11"/>
      <c r="E673" s="11"/>
      <c r="F673" s="6"/>
      <c r="G673" s="11"/>
      <c r="H673" s="11"/>
      <c r="I673" s="6"/>
      <c r="J673" s="6"/>
      <c r="K673" s="6"/>
      <c r="L673" s="6"/>
      <c r="M673" s="6"/>
      <c r="N673" s="6"/>
      <c r="O673" s="6"/>
      <c r="P673" s="6"/>
      <c r="Q673" s="6"/>
    </row>
    <row r="674" ht="19.5" customHeight="1">
      <c r="A674" s="22"/>
      <c r="B674" s="6"/>
      <c r="C674" s="11"/>
      <c r="D674" s="11"/>
      <c r="E674" s="11"/>
      <c r="F674" s="6"/>
      <c r="G674" s="11"/>
      <c r="H674" s="11"/>
      <c r="I674" s="6"/>
      <c r="J674" s="6"/>
      <c r="K674" s="6"/>
      <c r="L674" s="6"/>
      <c r="M674" s="6"/>
      <c r="N674" s="6"/>
      <c r="O674" s="6"/>
      <c r="P674" s="6"/>
      <c r="Q674" s="6"/>
    </row>
    <row r="675" ht="19.5" customHeight="1">
      <c r="A675" s="22"/>
      <c r="B675" s="6"/>
      <c r="C675" s="11"/>
      <c r="D675" s="11"/>
      <c r="E675" s="11"/>
      <c r="F675" s="6"/>
      <c r="G675" s="11"/>
      <c r="H675" s="11"/>
      <c r="I675" s="6"/>
      <c r="J675" s="6"/>
      <c r="K675" s="6"/>
      <c r="L675" s="6"/>
      <c r="M675" s="6"/>
      <c r="N675" s="6"/>
      <c r="O675" s="6"/>
      <c r="P675" s="6"/>
      <c r="Q675" s="6"/>
    </row>
    <row r="676" ht="19.5" customHeight="1">
      <c r="A676" s="22"/>
      <c r="B676" s="6"/>
      <c r="C676" s="11"/>
      <c r="D676" s="11"/>
      <c r="E676" s="11"/>
      <c r="F676" s="6"/>
      <c r="G676" s="11"/>
      <c r="H676" s="11"/>
      <c r="I676" s="6"/>
      <c r="J676" s="6"/>
      <c r="K676" s="6"/>
      <c r="L676" s="6"/>
      <c r="M676" s="6"/>
      <c r="N676" s="6"/>
      <c r="O676" s="6"/>
      <c r="P676" s="6"/>
      <c r="Q676" s="6"/>
    </row>
    <row r="677" ht="19.5" customHeight="1">
      <c r="A677" s="22"/>
      <c r="B677" s="6"/>
      <c r="C677" s="11"/>
      <c r="D677" s="11"/>
      <c r="E677" s="11"/>
      <c r="F677" s="6"/>
      <c r="G677" s="11"/>
      <c r="H677" s="11"/>
      <c r="I677" s="6"/>
      <c r="J677" s="6"/>
      <c r="K677" s="6"/>
      <c r="L677" s="6"/>
      <c r="M677" s="6"/>
      <c r="N677" s="6"/>
      <c r="O677" s="6"/>
      <c r="P677" s="6"/>
      <c r="Q677" s="6"/>
    </row>
    <row r="678" ht="19.5" customHeight="1">
      <c r="A678" s="22"/>
      <c r="B678" s="6"/>
      <c r="C678" s="11"/>
      <c r="D678" s="11"/>
      <c r="E678" s="11"/>
      <c r="F678" s="6"/>
      <c r="G678" s="11"/>
      <c r="H678" s="11"/>
      <c r="I678" s="6"/>
      <c r="J678" s="6"/>
      <c r="K678" s="6"/>
      <c r="L678" s="6"/>
      <c r="M678" s="6"/>
      <c r="N678" s="6"/>
      <c r="O678" s="6"/>
      <c r="P678" s="6"/>
      <c r="Q678" s="6"/>
    </row>
    <row r="679" ht="19.5" customHeight="1">
      <c r="A679" s="22"/>
      <c r="B679" s="6"/>
      <c r="C679" s="11"/>
      <c r="D679" s="11"/>
      <c r="E679" s="11"/>
      <c r="F679" s="6"/>
      <c r="G679" s="11"/>
      <c r="H679" s="11"/>
      <c r="I679" s="6"/>
      <c r="J679" s="6"/>
      <c r="K679" s="6"/>
      <c r="L679" s="6"/>
      <c r="M679" s="6"/>
      <c r="N679" s="6"/>
      <c r="O679" s="6"/>
      <c r="P679" s="6"/>
      <c r="Q679" s="6"/>
    </row>
    <row r="680" ht="19.5" customHeight="1">
      <c r="A680" s="22"/>
      <c r="B680" s="6"/>
      <c r="C680" s="11"/>
      <c r="D680" s="11"/>
      <c r="E680" s="11"/>
      <c r="F680" s="6"/>
      <c r="G680" s="11"/>
      <c r="H680" s="11"/>
      <c r="I680" s="6"/>
      <c r="J680" s="6"/>
      <c r="K680" s="6"/>
      <c r="L680" s="6"/>
      <c r="M680" s="6"/>
      <c r="N680" s="6"/>
      <c r="O680" s="6"/>
      <c r="P680" s="6"/>
      <c r="Q680" s="6"/>
    </row>
    <row r="681" ht="19.5" customHeight="1">
      <c r="A681" s="22"/>
      <c r="B681" s="6"/>
      <c r="C681" s="11"/>
      <c r="D681" s="11"/>
      <c r="E681" s="11"/>
      <c r="F681" s="6"/>
      <c r="G681" s="11"/>
      <c r="H681" s="11"/>
      <c r="I681" s="6"/>
      <c r="J681" s="6"/>
      <c r="K681" s="6"/>
      <c r="L681" s="6"/>
      <c r="M681" s="6"/>
      <c r="N681" s="6"/>
      <c r="O681" s="6"/>
      <c r="P681" s="6"/>
      <c r="Q681" s="6"/>
    </row>
    <row r="682" ht="19.5" customHeight="1">
      <c r="A682" s="22"/>
      <c r="B682" s="6"/>
      <c r="C682" s="11"/>
      <c r="D682" s="11"/>
      <c r="E682" s="11"/>
      <c r="F682" s="6"/>
      <c r="G682" s="11"/>
      <c r="H682" s="11"/>
      <c r="I682" s="6"/>
      <c r="J682" s="6"/>
      <c r="K682" s="6"/>
      <c r="L682" s="6"/>
      <c r="M682" s="6"/>
      <c r="N682" s="6"/>
      <c r="O682" s="6"/>
      <c r="P682" s="6"/>
      <c r="Q682" s="6"/>
    </row>
    <row r="683" ht="19.5" customHeight="1">
      <c r="A683" s="22"/>
      <c r="B683" s="6"/>
      <c r="C683" s="11"/>
      <c r="D683" s="11"/>
      <c r="E683" s="11"/>
      <c r="F683" s="6"/>
      <c r="G683" s="11"/>
      <c r="H683" s="11"/>
      <c r="I683" s="6"/>
      <c r="J683" s="6"/>
      <c r="K683" s="6"/>
      <c r="L683" s="6"/>
      <c r="M683" s="6"/>
      <c r="N683" s="6"/>
      <c r="O683" s="6"/>
      <c r="P683" s="6"/>
      <c r="Q683" s="6"/>
    </row>
    <row r="684" ht="19.5" customHeight="1">
      <c r="A684" s="22"/>
      <c r="B684" s="6"/>
      <c r="C684" s="11"/>
      <c r="D684" s="11"/>
      <c r="E684" s="11"/>
      <c r="F684" s="6"/>
      <c r="G684" s="11"/>
      <c r="H684" s="11"/>
      <c r="I684" s="6"/>
      <c r="J684" s="6"/>
      <c r="K684" s="6"/>
      <c r="L684" s="6"/>
      <c r="M684" s="6"/>
      <c r="N684" s="6"/>
      <c r="O684" s="6"/>
      <c r="P684" s="6"/>
      <c r="Q684" s="6"/>
    </row>
    <row r="685" ht="19.5" customHeight="1">
      <c r="A685" s="22"/>
      <c r="B685" s="6"/>
      <c r="C685" s="11"/>
      <c r="D685" s="11"/>
      <c r="E685" s="11"/>
      <c r="F685" s="6"/>
      <c r="G685" s="11"/>
      <c r="H685" s="11"/>
      <c r="I685" s="6"/>
      <c r="J685" s="6"/>
      <c r="K685" s="6"/>
      <c r="L685" s="6"/>
      <c r="M685" s="6"/>
      <c r="N685" s="6"/>
      <c r="O685" s="6"/>
      <c r="P685" s="6"/>
      <c r="Q685" s="6"/>
    </row>
    <row r="686" ht="19.5" customHeight="1">
      <c r="A686" s="22"/>
      <c r="B686" s="6"/>
      <c r="C686" s="11"/>
      <c r="D686" s="11"/>
      <c r="E686" s="11"/>
      <c r="F686" s="6"/>
      <c r="G686" s="11"/>
      <c r="H686" s="11"/>
      <c r="I686" s="6"/>
      <c r="J686" s="6"/>
      <c r="K686" s="6"/>
      <c r="L686" s="6"/>
      <c r="M686" s="6"/>
      <c r="N686" s="6"/>
      <c r="O686" s="6"/>
      <c r="P686" s="6"/>
      <c r="Q686" s="6"/>
    </row>
    <row r="687" ht="19.5" customHeight="1">
      <c r="A687" s="22"/>
      <c r="B687" s="6"/>
      <c r="C687" s="11"/>
      <c r="D687" s="11"/>
      <c r="E687" s="11"/>
      <c r="F687" s="6"/>
      <c r="G687" s="11"/>
      <c r="H687" s="11"/>
      <c r="I687" s="6"/>
      <c r="J687" s="6"/>
      <c r="K687" s="6"/>
      <c r="L687" s="6"/>
      <c r="M687" s="6"/>
      <c r="N687" s="6"/>
      <c r="O687" s="6"/>
      <c r="P687" s="6"/>
      <c r="Q687" s="6"/>
    </row>
    <row r="688" ht="19.5" customHeight="1">
      <c r="A688" s="22"/>
      <c r="B688" s="6"/>
      <c r="C688" s="11"/>
      <c r="D688" s="11"/>
      <c r="E688" s="11"/>
      <c r="F688" s="6"/>
      <c r="G688" s="11"/>
      <c r="H688" s="11"/>
      <c r="I688" s="6"/>
      <c r="J688" s="6"/>
      <c r="K688" s="6"/>
      <c r="L688" s="6"/>
      <c r="M688" s="6"/>
      <c r="N688" s="6"/>
      <c r="O688" s="6"/>
      <c r="P688" s="6"/>
      <c r="Q688" s="6"/>
    </row>
    <row r="689" ht="19.5" customHeight="1">
      <c r="A689" s="22"/>
      <c r="B689" s="6"/>
      <c r="C689" s="11"/>
      <c r="D689" s="11"/>
      <c r="E689" s="11"/>
      <c r="F689" s="6"/>
      <c r="G689" s="11"/>
      <c r="H689" s="11"/>
      <c r="I689" s="6"/>
      <c r="J689" s="6"/>
      <c r="K689" s="6"/>
      <c r="L689" s="6"/>
      <c r="M689" s="6"/>
      <c r="N689" s="6"/>
      <c r="O689" s="6"/>
      <c r="P689" s="6"/>
      <c r="Q689" s="6"/>
    </row>
    <row r="690" ht="19.5" customHeight="1">
      <c r="A690" s="22"/>
      <c r="B690" s="6"/>
      <c r="C690" s="11"/>
      <c r="D690" s="11"/>
      <c r="E690" s="11"/>
      <c r="F690" s="6"/>
      <c r="G690" s="11"/>
      <c r="H690" s="11"/>
      <c r="I690" s="6"/>
      <c r="J690" s="6"/>
      <c r="K690" s="6"/>
      <c r="L690" s="6"/>
      <c r="M690" s="6"/>
      <c r="N690" s="6"/>
      <c r="O690" s="6"/>
      <c r="P690" s="6"/>
      <c r="Q690" s="6"/>
    </row>
    <row r="691" ht="19.5" customHeight="1">
      <c r="A691" s="22"/>
      <c r="B691" s="6"/>
      <c r="C691" s="11"/>
      <c r="D691" s="11"/>
      <c r="E691" s="11"/>
      <c r="F691" s="6"/>
      <c r="G691" s="11"/>
      <c r="H691" s="11"/>
      <c r="I691" s="6"/>
      <c r="J691" s="6"/>
      <c r="K691" s="6"/>
      <c r="L691" s="6"/>
      <c r="M691" s="6"/>
      <c r="N691" s="6"/>
      <c r="O691" s="6"/>
      <c r="P691" s="6"/>
      <c r="Q691" s="6"/>
    </row>
    <row r="692" ht="19.5" customHeight="1">
      <c r="A692" s="22"/>
      <c r="B692" s="6"/>
      <c r="C692" s="11"/>
      <c r="D692" s="11"/>
      <c r="E692" s="11"/>
      <c r="F692" s="6"/>
      <c r="G692" s="11"/>
      <c r="H692" s="11"/>
      <c r="I692" s="6"/>
      <c r="J692" s="6"/>
      <c r="K692" s="6"/>
      <c r="L692" s="6"/>
      <c r="M692" s="6"/>
      <c r="N692" s="6"/>
      <c r="O692" s="6"/>
      <c r="P692" s="6"/>
      <c r="Q692" s="6"/>
    </row>
    <row r="693" ht="19.5" customHeight="1">
      <c r="A693" s="22"/>
      <c r="B693" s="6"/>
      <c r="C693" s="11"/>
      <c r="D693" s="11"/>
      <c r="E693" s="11"/>
      <c r="F693" s="6"/>
      <c r="G693" s="11"/>
      <c r="H693" s="11"/>
      <c r="I693" s="6"/>
      <c r="J693" s="6"/>
      <c r="K693" s="6"/>
      <c r="L693" s="6"/>
      <c r="M693" s="6"/>
      <c r="N693" s="6"/>
      <c r="O693" s="6"/>
      <c r="P693" s="6"/>
      <c r="Q693" s="6"/>
    </row>
    <row r="694" ht="19.5" customHeight="1">
      <c r="A694" s="22"/>
      <c r="B694" s="6"/>
      <c r="C694" s="11"/>
      <c r="D694" s="11"/>
      <c r="E694" s="11"/>
      <c r="F694" s="6"/>
      <c r="G694" s="11"/>
      <c r="H694" s="11"/>
      <c r="I694" s="6"/>
      <c r="J694" s="6"/>
      <c r="K694" s="6"/>
      <c r="L694" s="6"/>
      <c r="M694" s="6"/>
      <c r="N694" s="6"/>
      <c r="O694" s="6"/>
      <c r="P694" s="6"/>
      <c r="Q694" s="6"/>
    </row>
    <row r="695" ht="19.5" customHeight="1">
      <c r="A695" s="22"/>
      <c r="B695" s="6"/>
      <c r="C695" s="11"/>
      <c r="D695" s="11"/>
      <c r="E695" s="11"/>
      <c r="F695" s="6"/>
      <c r="G695" s="11"/>
      <c r="H695" s="11"/>
      <c r="I695" s="6"/>
      <c r="J695" s="6"/>
      <c r="K695" s="6"/>
      <c r="L695" s="6"/>
      <c r="M695" s="6"/>
      <c r="N695" s="6"/>
      <c r="O695" s="6"/>
      <c r="P695" s="6"/>
      <c r="Q695" s="6"/>
    </row>
    <row r="696" ht="19.5" customHeight="1">
      <c r="A696" s="22"/>
      <c r="B696" s="6"/>
      <c r="C696" s="11"/>
      <c r="D696" s="11"/>
      <c r="E696" s="11"/>
      <c r="F696" s="6"/>
      <c r="G696" s="11"/>
      <c r="H696" s="11"/>
      <c r="I696" s="6"/>
      <c r="J696" s="6"/>
      <c r="K696" s="6"/>
      <c r="L696" s="6"/>
      <c r="M696" s="6"/>
      <c r="N696" s="6"/>
      <c r="O696" s="6"/>
      <c r="P696" s="6"/>
      <c r="Q696" s="6"/>
    </row>
    <row r="697" ht="19.5" customHeight="1">
      <c r="A697" s="22"/>
      <c r="B697" s="6"/>
      <c r="C697" s="11"/>
      <c r="D697" s="11"/>
      <c r="E697" s="11"/>
      <c r="F697" s="6"/>
      <c r="G697" s="11"/>
      <c r="H697" s="11"/>
      <c r="I697" s="6"/>
      <c r="J697" s="6"/>
      <c r="K697" s="6"/>
      <c r="L697" s="6"/>
      <c r="M697" s="6"/>
      <c r="N697" s="6"/>
      <c r="O697" s="6"/>
      <c r="P697" s="6"/>
      <c r="Q697" s="6"/>
    </row>
    <row r="698" ht="19.5" customHeight="1">
      <c r="A698" s="22"/>
      <c r="B698" s="6"/>
      <c r="C698" s="11"/>
      <c r="D698" s="11"/>
      <c r="E698" s="11"/>
      <c r="F698" s="6"/>
      <c r="G698" s="11"/>
      <c r="H698" s="11"/>
      <c r="I698" s="6"/>
      <c r="J698" s="6"/>
      <c r="K698" s="6"/>
      <c r="L698" s="6"/>
      <c r="M698" s="6"/>
      <c r="N698" s="6"/>
      <c r="O698" s="6"/>
      <c r="P698" s="6"/>
      <c r="Q698" s="6"/>
    </row>
    <row r="699" ht="19.5" customHeight="1">
      <c r="A699" s="22"/>
      <c r="B699" s="6"/>
      <c r="C699" s="11"/>
      <c r="D699" s="11"/>
      <c r="E699" s="11"/>
      <c r="F699" s="6"/>
      <c r="G699" s="11"/>
      <c r="H699" s="11"/>
      <c r="I699" s="6"/>
      <c r="J699" s="6"/>
      <c r="K699" s="6"/>
      <c r="L699" s="6"/>
      <c r="M699" s="6"/>
      <c r="N699" s="6"/>
      <c r="O699" s="6"/>
      <c r="P699" s="6"/>
      <c r="Q699" s="6"/>
    </row>
    <row r="700" ht="19.5" customHeight="1">
      <c r="A700" s="22"/>
      <c r="B700" s="6"/>
      <c r="C700" s="11"/>
      <c r="D700" s="11"/>
      <c r="E700" s="11"/>
      <c r="F700" s="6"/>
      <c r="G700" s="11"/>
      <c r="H700" s="11"/>
      <c r="I700" s="6"/>
      <c r="J700" s="6"/>
      <c r="K700" s="6"/>
      <c r="L700" s="6"/>
      <c r="M700" s="6"/>
      <c r="N700" s="6"/>
      <c r="O700" s="6"/>
      <c r="P700" s="6"/>
      <c r="Q700" s="6"/>
    </row>
    <row r="701" ht="19.5" customHeight="1">
      <c r="A701" s="22"/>
      <c r="B701" s="6"/>
      <c r="C701" s="11"/>
      <c r="D701" s="11"/>
      <c r="E701" s="11"/>
      <c r="F701" s="6"/>
      <c r="G701" s="11"/>
      <c r="H701" s="11"/>
      <c r="I701" s="6"/>
      <c r="J701" s="6"/>
      <c r="K701" s="6"/>
      <c r="L701" s="6"/>
      <c r="M701" s="6"/>
      <c r="N701" s="6"/>
      <c r="O701" s="6"/>
      <c r="P701" s="6"/>
      <c r="Q701" s="6"/>
    </row>
    <row r="702" ht="19.5" customHeight="1">
      <c r="A702" s="22"/>
      <c r="B702" s="6"/>
      <c r="C702" s="11"/>
      <c r="D702" s="11"/>
      <c r="E702" s="11"/>
      <c r="F702" s="6"/>
      <c r="G702" s="11"/>
      <c r="H702" s="11"/>
      <c r="I702" s="6"/>
      <c r="J702" s="6"/>
      <c r="K702" s="6"/>
      <c r="L702" s="6"/>
      <c r="M702" s="6"/>
      <c r="N702" s="6"/>
      <c r="O702" s="6"/>
      <c r="P702" s="6"/>
      <c r="Q702" s="6"/>
    </row>
    <row r="703" ht="19.5" customHeight="1">
      <c r="A703" s="22"/>
      <c r="B703" s="6"/>
      <c r="C703" s="11"/>
      <c r="D703" s="11"/>
      <c r="E703" s="11"/>
      <c r="F703" s="6"/>
      <c r="G703" s="11"/>
      <c r="H703" s="11"/>
      <c r="I703" s="6"/>
      <c r="J703" s="6"/>
      <c r="K703" s="6"/>
      <c r="L703" s="6"/>
      <c r="M703" s="6"/>
      <c r="N703" s="6"/>
      <c r="O703" s="6"/>
      <c r="P703" s="6"/>
      <c r="Q703" s="6"/>
    </row>
    <row r="704" ht="19.5" customHeight="1">
      <c r="A704" s="22"/>
      <c r="B704" s="6"/>
      <c r="C704" s="11"/>
      <c r="D704" s="11"/>
      <c r="E704" s="11"/>
      <c r="F704" s="6"/>
      <c r="G704" s="11"/>
      <c r="H704" s="11"/>
      <c r="I704" s="6"/>
      <c r="J704" s="6"/>
      <c r="K704" s="6"/>
      <c r="L704" s="6"/>
      <c r="M704" s="6"/>
      <c r="N704" s="6"/>
      <c r="O704" s="6"/>
      <c r="P704" s="6"/>
      <c r="Q704" s="6"/>
    </row>
    <row r="705" ht="19.5" customHeight="1">
      <c r="A705" s="22"/>
      <c r="B705" s="6"/>
      <c r="C705" s="11"/>
      <c r="D705" s="11"/>
      <c r="E705" s="11"/>
      <c r="F705" s="6"/>
      <c r="G705" s="11"/>
      <c r="H705" s="11"/>
      <c r="I705" s="6"/>
      <c r="J705" s="6"/>
      <c r="K705" s="6"/>
      <c r="L705" s="6"/>
      <c r="M705" s="6"/>
      <c r="N705" s="6"/>
      <c r="O705" s="6"/>
      <c r="P705" s="6"/>
      <c r="Q705" s="6"/>
    </row>
    <row r="706" ht="19.5" customHeight="1">
      <c r="A706" s="22"/>
      <c r="B706" s="6"/>
      <c r="C706" s="11"/>
      <c r="D706" s="11"/>
      <c r="E706" s="11"/>
      <c r="F706" s="6"/>
      <c r="G706" s="11"/>
      <c r="H706" s="11"/>
      <c r="I706" s="6"/>
      <c r="J706" s="6"/>
      <c r="K706" s="6"/>
      <c r="L706" s="6"/>
      <c r="M706" s="6"/>
      <c r="N706" s="6"/>
      <c r="O706" s="6"/>
      <c r="P706" s="6"/>
      <c r="Q706" s="6"/>
    </row>
    <row r="707" ht="19.5" customHeight="1">
      <c r="A707" s="22"/>
      <c r="B707" s="6"/>
      <c r="C707" s="11"/>
      <c r="D707" s="11"/>
      <c r="E707" s="11"/>
      <c r="F707" s="6"/>
      <c r="G707" s="11"/>
      <c r="H707" s="11"/>
      <c r="I707" s="6"/>
      <c r="J707" s="6"/>
      <c r="K707" s="6"/>
      <c r="L707" s="6"/>
      <c r="M707" s="6"/>
      <c r="N707" s="6"/>
      <c r="O707" s="6"/>
      <c r="P707" s="6"/>
      <c r="Q707" s="6"/>
    </row>
    <row r="708" ht="19.5" customHeight="1">
      <c r="A708" s="22"/>
      <c r="B708" s="6"/>
      <c r="C708" s="11"/>
      <c r="D708" s="11"/>
      <c r="E708" s="11"/>
      <c r="F708" s="6"/>
      <c r="G708" s="11"/>
      <c r="H708" s="11"/>
      <c r="I708" s="6"/>
      <c r="J708" s="6"/>
      <c r="K708" s="6"/>
      <c r="L708" s="6"/>
      <c r="M708" s="6"/>
      <c r="N708" s="6"/>
      <c r="O708" s="6"/>
      <c r="P708" s="6"/>
      <c r="Q708" s="6"/>
    </row>
    <row r="709" ht="19.5" customHeight="1">
      <c r="A709" s="22"/>
      <c r="B709" s="6"/>
      <c r="C709" s="11"/>
      <c r="D709" s="11"/>
      <c r="E709" s="11"/>
      <c r="F709" s="6"/>
      <c r="G709" s="11"/>
      <c r="H709" s="11"/>
      <c r="I709" s="6"/>
      <c r="J709" s="6"/>
      <c r="K709" s="6"/>
      <c r="L709" s="6"/>
      <c r="M709" s="6"/>
      <c r="N709" s="6"/>
      <c r="O709" s="6"/>
      <c r="P709" s="6"/>
      <c r="Q709" s="6"/>
    </row>
    <row r="710" ht="19.5" customHeight="1">
      <c r="A710" s="22"/>
      <c r="B710" s="6"/>
      <c r="C710" s="11"/>
      <c r="D710" s="11"/>
      <c r="E710" s="11"/>
      <c r="F710" s="6"/>
      <c r="G710" s="11"/>
      <c r="H710" s="11"/>
      <c r="I710" s="6"/>
      <c r="J710" s="6"/>
      <c r="K710" s="6"/>
      <c r="L710" s="6"/>
      <c r="M710" s="6"/>
      <c r="N710" s="6"/>
      <c r="O710" s="6"/>
      <c r="P710" s="6"/>
      <c r="Q710" s="6"/>
    </row>
    <row r="711" ht="19.5" customHeight="1">
      <c r="A711" s="22"/>
      <c r="B711" s="6"/>
      <c r="C711" s="11"/>
      <c r="D711" s="11"/>
      <c r="E711" s="11"/>
      <c r="F711" s="6"/>
      <c r="G711" s="11"/>
      <c r="H711" s="11"/>
      <c r="I711" s="6"/>
      <c r="J711" s="6"/>
      <c r="K711" s="6"/>
      <c r="L711" s="6"/>
      <c r="M711" s="6"/>
      <c r="N711" s="6"/>
      <c r="O711" s="6"/>
      <c r="P711" s="6"/>
      <c r="Q711" s="6"/>
    </row>
    <row r="712" ht="19.5" customHeight="1">
      <c r="A712" s="22"/>
      <c r="B712" s="6"/>
      <c r="C712" s="11"/>
      <c r="D712" s="11"/>
      <c r="E712" s="11"/>
      <c r="F712" s="6"/>
      <c r="G712" s="11"/>
      <c r="H712" s="11"/>
      <c r="I712" s="6"/>
      <c r="J712" s="6"/>
      <c r="K712" s="6"/>
      <c r="L712" s="6"/>
      <c r="M712" s="6"/>
      <c r="N712" s="6"/>
      <c r="O712" s="6"/>
      <c r="P712" s="6"/>
      <c r="Q712" s="6"/>
    </row>
    <row r="713" ht="19.5" customHeight="1">
      <c r="A713" s="22"/>
      <c r="B713" s="6"/>
      <c r="C713" s="11"/>
      <c r="D713" s="11"/>
      <c r="E713" s="11"/>
      <c r="F713" s="6"/>
      <c r="G713" s="11"/>
      <c r="H713" s="11"/>
      <c r="I713" s="6"/>
      <c r="J713" s="6"/>
      <c r="K713" s="6"/>
      <c r="L713" s="6"/>
      <c r="M713" s="6"/>
      <c r="N713" s="6"/>
      <c r="O713" s="6"/>
      <c r="P713" s="6"/>
      <c r="Q713" s="6"/>
    </row>
    <row r="714" ht="19.5" customHeight="1">
      <c r="A714" s="22"/>
      <c r="B714" s="6"/>
      <c r="C714" s="11"/>
      <c r="D714" s="11"/>
      <c r="E714" s="11"/>
      <c r="F714" s="6"/>
      <c r="G714" s="11"/>
      <c r="H714" s="11"/>
      <c r="I714" s="6"/>
      <c r="J714" s="6"/>
      <c r="K714" s="6"/>
      <c r="L714" s="6"/>
      <c r="M714" s="6"/>
      <c r="N714" s="6"/>
      <c r="O714" s="6"/>
      <c r="P714" s="6"/>
      <c r="Q714" s="6"/>
    </row>
    <row r="715" ht="19.5" customHeight="1">
      <c r="A715" s="22"/>
      <c r="B715" s="6"/>
      <c r="C715" s="11"/>
      <c r="D715" s="11"/>
      <c r="E715" s="11"/>
      <c r="F715" s="6"/>
      <c r="G715" s="11"/>
      <c r="H715" s="11"/>
      <c r="I715" s="6"/>
      <c r="J715" s="6"/>
      <c r="K715" s="6"/>
      <c r="L715" s="6"/>
      <c r="M715" s="6"/>
      <c r="N715" s="6"/>
      <c r="O715" s="6"/>
      <c r="P715" s="6"/>
      <c r="Q715" s="6"/>
    </row>
    <row r="716" ht="19.5" customHeight="1">
      <c r="A716" s="22"/>
      <c r="B716" s="6"/>
      <c r="C716" s="11"/>
      <c r="D716" s="11"/>
      <c r="E716" s="11"/>
      <c r="F716" s="6"/>
      <c r="G716" s="11"/>
      <c r="H716" s="11"/>
      <c r="I716" s="6"/>
      <c r="J716" s="6"/>
      <c r="K716" s="6"/>
      <c r="L716" s="6"/>
      <c r="M716" s="6"/>
      <c r="N716" s="6"/>
      <c r="O716" s="6"/>
      <c r="P716" s="6"/>
      <c r="Q716" s="6"/>
    </row>
    <row r="717" ht="19.5" customHeight="1">
      <c r="A717" s="22"/>
      <c r="B717" s="6"/>
      <c r="C717" s="11"/>
      <c r="D717" s="11"/>
      <c r="E717" s="11"/>
      <c r="F717" s="6"/>
      <c r="G717" s="11"/>
      <c r="H717" s="11"/>
      <c r="I717" s="6"/>
      <c r="J717" s="6"/>
      <c r="K717" s="6"/>
      <c r="L717" s="6"/>
      <c r="M717" s="6"/>
      <c r="N717" s="6"/>
      <c r="O717" s="6"/>
      <c r="P717" s="6"/>
      <c r="Q717" s="6"/>
    </row>
    <row r="718" ht="19.5" customHeight="1">
      <c r="A718" s="22"/>
      <c r="B718" s="6"/>
      <c r="C718" s="11"/>
      <c r="D718" s="11"/>
      <c r="E718" s="11"/>
      <c r="F718" s="6"/>
      <c r="G718" s="11"/>
      <c r="H718" s="11"/>
      <c r="I718" s="6"/>
      <c r="J718" s="6"/>
      <c r="K718" s="6"/>
      <c r="L718" s="6"/>
      <c r="M718" s="6"/>
      <c r="N718" s="6"/>
      <c r="O718" s="6"/>
      <c r="P718" s="6"/>
      <c r="Q718" s="6"/>
    </row>
    <row r="719" ht="19.5" customHeight="1">
      <c r="A719" s="22"/>
      <c r="B719" s="6"/>
      <c r="C719" s="11"/>
      <c r="D719" s="11"/>
      <c r="E719" s="11"/>
      <c r="F719" s="6"/>
      <c r="G719" s="11"/>
      <c r="H719" s="11"/>
      <c r="I719" s="6"/>
      <c r="J719" s="6"/>
      <c r="K719" s="6"/>
      <c r="L719" s="6"/>
      <c r="M719" s="6"/>
      <c r="N719" s="6"/>
      <c r="O719" s="6"/>
      <c r="P719" s="6"/>
      <c r="Q719" s="6"/>
    </row>
    <row r="720" ht="19.5" customHeight="1">
      <c r="A720" s="22"/>
      <c r="B720" s="6"/>
      <c r="C720" s="11"/>
      <c r="D720" s="11"/>
      <c r="E720" s="11"/>
      <c r="F720" s="6"/>
      <c r="G720" s="11"/>
      <c r="H720" s="11"/>
      <c r="I720" s="6"/>
      <c r="J720" s="6"/>
      <c r="K720" s="6"/>
      <c r="L720" s="6"/>
      <c r="M720" s="6"/>
      <c r="N720" s="6"/>
      <c r="O720" s="6"/>
      <c r="P720" s="6"/>
      <c r="Q720" s="6"/>
    </row>
    <row r="721" ht="19.5" customHeight="1">
      <c r="A721" s="22"/>
      <c r="B721" s="6"/>
      <c r="C721" s="11"/>
      <c r="D721" s="11"/>
      <c r="E721" s="11"/>
      <c r="F721" s="6"/>
      <c r="G721" s="11"/>
      <c r="H721" s="11"/>
      <c r="I721" s="6"/>
      <c r="J721" s="6"/>
      <c r="K721" s="6"/>
      <c r="L721" s="6"/>
      <c r="M721" s="6"/>
      <c r="N721" s="6"/>
      <c r="O721" s="6"/>
      <c r="P721" s="6"/>
      <c r="Q721" s="6"/>
    </row>
    <row r="722" ht="19.5" customHeight="1">
      <c r="A722" s="22"/>
      <c r="B722" s="6"/>
      <c r="C722" s="11"/>
      <c r="D722" s="11"/>
      <c r="E722" s="11"/>
      <c r="F722" s="6"/>
      <c r="G722" s="11"/>
      <c r="H722" s="11"/>
      <c r="I722" s="6"/>
      <c r="J722" s="6"/>
      <c r="K722" s="6"/>
      <c r="L722" s="6"/>
      <c r="M722" s="6"/>
      <c r="N722" s="6"/>
      <c r="O722" s="6"/>
      <c r="P722" s="6"/>
      <c r="Q722" s="6"/>
    </row>
    <row r="723" ht="19.5" customHeight="1">
      <c r="A723" s="22"/>
      <c r="B723" s="6"/>
      <c r="C723" s="11"/>
      <c r="D723" s="11"/>
      <c r="E723" s="11"/>
      <c r="F723" s="6"/>
      <c r="G723" s="11"/>
      <c r="H723" s="11"/>
      <c r="I723" s="6"/>
      <c r="J723" s="6"/>
      <c r="K723" s="6"/>
      <c r="L723" s="6"/>
      <c r="M723" s="6"/>
      <c r="N723" s="6"/>
      <c r="O723" s="6"/>
      <c r="P723" s="6"/>
      <c r="Q723" s="6"/>
    </row>
    <row r="724" ht="19.5" customHeight="1">
      <c r="A724" s="22"/>
      <c r="B724" s="6"/>
      <c r="C724" s="11"/>
      <c r="D724" s="11"/>
      <c r="E724" s="11"/>
      <c r="F724" s="6"/>
      <c r="G724" s="11"/>
      <c r="H724" s="11"/>
      <c r="I724" s="6"/>
      <c r="J724" s="6"/>
      <c r="K724" s="6"/>
      <c r="L724" s="6"/>
      <c r="M724" s="6"/>
      <c r="N724" s="6"/>
      <c r="O724" s="6"/>
      <c r="P724" s="6"/>
      <c r="Q724" s="6"/>
    </row>
    <row r="725" ht="19.5" customHeight="1">
      <c r="A725" s="22"/>
      <c r="B725" s="6"/>
      <c r="C725" s="11"/>
      <c r="D725" s="11"/>
      <c r="E725" s="11"/>
      <c r="F725" s="6"/>
      <c r="G725" s="11"/>
      <c r="H725" s="11"/>
      <c r="I725" s="6"/>
      <c r="J725" s="6"/>
      <c r="K725" s="6"/>
      <c r="L725" s="6"/>
      <c r="M725" s="6"/>
      <c r="N725" s="6"/>
      <c r="O725" s="6"/>
      <c r="P725" s="6"/>
      <c r="Q725" s="6"/>
    </row>
    <row r="726" ht="19.5" customHeight="1">
      <c r="A726" s="22"/>
      <c r="B726" s="6"/>
      <c r="C726" s="11"/>
      <c r="D726" s="11"/>
      <c r="E726" s="11"/>
      <c r="F726" s="6"/>
      <c r="G726" s="11"/>
      <c r="H726" s="11"/>
      <c r="I726" s="6"/>
      <c r="J726" s="6"/>
      <c r="K726" s="6"/>
      <c r="L726" s="6"/>
      <c r="M726" s="6"/>
      <c r="N726" s="6"/>
      <c r="O726" s="6"/>
      <c r="P726" s="6"/>
      <c r="Q726" s="6"/>
    </row>
    <row r="727" ht="19.5" customHeight="1">
      <c r="A727" s="22"/>
      <c r="B727" s="6"/>
      <c r="C727" s="11"/>
      <c r="D727" s="11"/>
      <c r="E727" s="11"/>
      <c r="F727" s="6"/>
      <c r="G727" s="11"/>
      <c r="H727" s="11"/>
      <c r="I727" s="6"/>
      <c r="J727" s="6"/>
      <c r="K727" s="6"/>
      <c r="L727" s="6"/>
      <c r="M727" s="6"/>
      <c r="N727" s="6"/>
      <c r="O727" s="6"/>
      <c r="P727" s="6"/>
      <c r="Q727" s="6"/>
    </row>
    <row r="728" ht="19.5" customHeight="1">
      <c r="A728" s="22"/>
      <c r="B728" s="6"/>
      <c r="C728" s="11"/>
      <c r="D728" s="11"/>
      <c r="E728" s="11"/>
      <c r="F728" s="6"/>
      <c r="G728" s="11"/>
      <c r="H728" s="11"/>
      <c r="I728" s="6"/>
      <c r="J728" s="6"/>
      <c r="K728" s="6"/>
      <c r="L728" s="6"/>
      <c r="M728" s="6"/>
      <c r="N728" s="6"/>
      <c r="O728" s="6"/>
      <c r="P728" s="6"/>
      <c r="Q728" s="6"/>
    </row>
    <row r="729" ht="19.5" customHeight="1">
      <c r="A729" s="22"/>
      <c r="B729" s="6"/>
      <c r="C729" s="11"/>
      <c r="D729" s="11"/>
      <c r="E729" s="11"/>
      <c r="F729" s="6"/>
      <c r="G729" s="11"/>
      <c r="H729" s="11"/>
      <c r="I729" s="6"/>
      <c r="J729" s="6"/>
      <c r="K729" s="6"/>
      <c r="L729" s="6"/>
      <c r="M729" s="6"/>
      <c r="N729" s="6"/>
      <c r="O729" s="6"/>
      <c r="P729" s="6"/>
      <c r="Q729" s="6"/>
    </row>
    <row r="730" ht="19.5" customHeight="1">
      <c r="A730" s="22"/>
      <c r="B730" s="6"/>
      <c r="C730" s="11"/>
      <c r="D730" s="11"/>
      <c r="E730" s="11"/>
      <c r="F730" s="6"/>
      <c r="G730" s="11"/>
      <c r="H730" s="11"/>
      <c r="I730" s="6"/>
      <c r="J730" s="6"/>
      <c r="K730" s="6"/>
      <c r="L730" s="6"/>
      <c r="M730" s="6"/>
      <c r="N730" s="6"/>
      <c r="O730" s="6"/>
      <c r="P730" s="6"/>
      <c r="Q730" s="6"/>
    </row>
    <row r="731" ht="19.5" customHeight="1">
      <c r="A731" s="22"/>
      <c r="B731" s="6"/>
      <c r="C731" s="11"/>
      <c r="D731" s="11"/>
      <c r="E731" s="11"/>
      <c r="F731" s="6"/>
      <c r="G731" s="11"/>
      <c r="H731" s="11"/>
      <c r="I731" s="6"/>
      <c r="J731" s="6"/>
      <c r="K731" s="6"/>
      <c r="L731" s="6"/>
      <c r="M731" s="6"/>
      <c r="N731" s="6"/>
      <c r="O731" s="6"/>
      <c r="P731" s="6"/>
      <c r="Q731" s="6"/>
    </row>
    <row r="732" ht="19.5" customHeight="1">
      <c r="A732" s="22"/>
      <c r="B732" s="6"/>
      <c r="C732" s="11"/>
      <c r="D732" s="11"/>
      <c r="E732" s="11"/>
      <c r="F732" s="6"/>
      <c r="G732" s="11"/>
      <c r="H732" s="11"/>
      <c r="I732" s="6"/>
      <c r="J732" s="6"/>
      <c r="K732" s="6"/>
      <c r="L732" s="6"/>
      <c r="M732" s="6"/>
      <c r="N732" s="6"/>
      <c r="O732" s="6"/>
      <c r="P732" s="6"/>
      <c r="Q732" s="6"/>
    </row>
    <row r="733" ht="19.5" customHeight="1">
      <c r="A733" s="22"/>
      <c r="B733" s="6"/>
      <c r="C733" s="11"/>
      <c r="D733" s="11"/>
      <c r="E733" s="11"/>
      <c r="F733" s="6"/>
      <c r="G733" s="11"/>
      <c r="H733" s="11"/>
      <c r="I733" s="6"/>
      <c r="J733" s="6"/>
      <c r="K733" s="6"/>
      <c r="L733" s="6"/>
      <c r="M733" s="6"/>
      <c r="N733" s="6"/>
      <c r="O733" s="6"/>
      <c r="P733" s="6"/>
      <c r="Q733" s="6"/>
    </row>
    <row r="734" ht="19.5" customHeight="1">
      <c r="A734" s="22"/>
      <c r="B734" s="6"/>
      <c r="C734" s="11"/>
      <c r="D734" s="11"/>
      <c r="E734" s="11"/>
      <c r="F734" s="6"/>
      <c r="G734" s="11"/>
      <c r="H734" s="11"/>
      <c r="I734" s="6"/>
      <c r="J734" s="6"/>
      <c r="K734" s="6"/>
      <c r="L734" s="6"/>
      <c r="M734" s="6"/>
      <c r="N734" s="6"/>
      <c r="O734" s="6"/>
      <c r="P734" s="6"/>
      <c r="Q734" s="6"/>
    </row>
    <row r="735" ht="19.5" customHeight="1">
      <c r="A735" s="22"/>
      <c r="B735" s="6"/>
      <c r="C735" s="11"/>
      <c r="D735" s="11"/>
      <c r="E735" s="11"/>
      <c r="F735" s="6"/>
      <c r="G735" s="11"/>
      <c r="H735" s="11"/>
      <c r="I735" s="6"/>
      <c r="J735" s="6"/>
      <c r="K735" s="6"/>
      <c r="L735" s="6"/>
      <c r="M735" s="6"/>
      <c r="N735" s="6"/>
      <c r="O735" s="6"/>
      <c r="P735" s="6"/>
      <c r="Q735" s="6"/>
    </row>
    <row r="736" ht="19.5" customHeight="1">
      <c r="A736" s="22"/>
      <c r="B736" s="6"/>
      <c r="C736" s="11"/>
      <c r="D736" s="11"/>
      <c r="E736" s="11"/>
      <c r="F736" s="6"/>
      <c r="G736" s="11"/>
      <c r="H736" s="11"/>
      <c r="I736" s="6"/>
      <c r="J736" s="6"/>
      <c r="K736" s="6"/>
      <c r="L736" s="6"/>
      <c r="M736" s="6"/>
      <c r="N736" s="6"/>
      <c r="O736" s="6"/>
      <c r="P736" s="6"/>
      <c r="Q736" s="6"/>
    </row>
    <row r="737" ht="19.5" customHeight="1">
      <c r="A737" s="22"/>
      <c r="B737" s="6"/>
      <c r="C737" s="11"/>
      <c r="D737" s="11"/>
      <c r="E737" s="11"/>
      <c r="F737" s="6"/>
      <c r="G737" s="11"/>
      <c r="H737" s="11"/>
      <c r="I737" s="6"/>
      <c r="J737" s="6"/>
      <c r="K737" s="6"/>
      <c r="L737" s="6"/>
      <c r="M737" s="6"/>
      <c r="N737" s="6"/>
      <c r="O737" s="6"/>
      <c r="P737" s="6"/>
      <c r="Q737" s="6"/>
    </row>
    <row r="738" ht="19.5" customHeight="1">
      <c r="A738" s="22"/>
      <c r="B738" s="6"/>
      <c r="C738" s="11"/>
      <c r="D738" s="11"/>
      <c r="E738" s="11"/>
      <c r="F738" s="6"/>
      <c r="G738" s="11"/>
      <c r="H738" s="11"/>
      <c r="I738" s="6"/>
      <c r="J738" s="6"/>
      <c r="K738" s="6"/>
      <c r="L738" s="6"/>
      <c r="M738" s="6"/>
      <c r="N738" s="6"/>
      <c r="O738" s="6"/>
      <c r="P738" s="6"/>
      <c r="Q738" s="6"/>
    </row>
    <row r="739" ht="19.5" customHeight="1">
      <c r="A739" s="22"/>
      <c r="B739" s="6"/>
      <c r="C739" s="11"/>
      <c r="D739" s="11"/>
      <c r="E739" s="11"/>
      <c r="F739" s="6"/>
      <c r="G739" s="11"/>
      <c r="H739" s="11"/>
      <c r="I739" s="6"/>
      <c r="J739" s="6"/>
      <c r="K739" s="6"/>
      <c r="L739" s="6"/>
      <c r="M739" s="6"/>
      <c r="N739" s="6"/>
      <c r="O739" s="6"/>
      <c r="P739" s="6"/>
      <c r="Q739" s="6"/>
    </row>
    <row r="740" ht="19.5" customHeight="1">
      <c r="A740" s="22"/>
      <c r="B740" s="6"/>
      <c r="C740" s="11"/>
      <c r="D740" s="11"/>
      <c r="E740" s="11"/>
      <c r="F740" s="6"/>
      <c r="G740" s="11"/>
      <c r="H740" s="11"/>
      <c r="I740" s="6"/>
      <c r="J740" s="6"/>
      <c r="K740" s="6"/>
      <c r="L740" s="6"/>
      <c r="M740" s="6"/>
      <c r="N740" s="6"/>
      <c r="O740" s="6"/>
      <c r="P740" s="6"/>
      <c r="Q740" s="6"/>
    </row>
    <row r="741" ht="19.5" customHeight="1">
      <c r="A741" s="22"/>
      <c r="B741" s="6"/>
      <c r="C741" s="11"/>
      <c r="D741" s="11"/>
      <c r="E741" s="11"/>
      <c r="F741" s="6"/>
      <c r="G741" s="11"/>
      <c r="H741" s="11"/>
      <c r="I741" s="6"/>
      <c r="J741" s="6"/>
      <c r="K741" s="6"/>
      <c r="L741" s="6"/>
      <c r="M741" s="6"/>
      <c r="N741" s="6"/>
      <c r="O741" s="6"/>
      <c r="P741" s="6"/>
      <c r="Q741" s="6"/>
    </row>
    <row r="742" ht="19.5" customHeight="1">
      <c r="A742" s="22"/>
      <c r="B742" s="6"/>
      <c r="C742" s="11"/>
      <c r="D742" s="11"/>
      <c r="E742" s="11"/>
      <c r="F742" s="6"/>
      <c r="G742" s="11"/>
      <c r="H742" s="11"/>
      <c r="I742" s="6"/>
      <c r="J742" s="6"/>
      <c r="K742" s="6"/>
      <c r="L742" s="6"/>
      <c r="M742" s="6"/>
      <c r="N742" s="6"/>
      <c r="O742" s="6"/>
      <c r="P742" s="6"/>
      <c r="Q742" s="6"/>
    </row>
    <row r="743" ht="19.5" customHeight="1">
      <c r="A743" s="22"/>
      <c r="B743" s="6"/>
      <c r="C743" s="11"/>
      <c r="D743" s="11"/>
      <c r="E743" s="11"/>
      <c r="F743" s="6"/>
      <c r="G743" s="11"/>
      <c r="H743" s="11"/>
      <c r="I743" s="6"/>
      <c r="J743" s="6"/>
      <c r="K743" s="6"/>
      <c r="L743" s="6"/>
      <c r="M743" s="6"/>
      <c r="N743" s="6"/>
      <c r="O743" s="6"/>
      <c r="P743" s="6"/>
      <c r="Q743" s="6"/>
    </row>
    <row r="744" ht="19.5" customHeight="1">
      <c r="A744" s="22"/>
      <c r="B744" s="6"/>
      <c r="C744" s="11"/>
      <c r="D744" s="11"/>
      <c r="E744" s="11"/>
      <c r="F744" s="6"/>
      <c r="G744" s="11"/>
      <c r="H744" s="11"/>
      <c r="I744" s="6"/>
      <c r="J744" s="6"/>
      <c r="K744" s="6"/>
      <c r="L744" s="6"/>
      <c r="M744" s="6"/>
      <c r="N744" s="6"/>
      <c r="O744" s="6"/>
      <c r="P744" s="6"/>
      <c r="Q744" s="6"/>
    </row>
    <row r="745" ht="19.5" customHeight="1">
      <c r="A745" s="22"/>
      <c r="B745" s="6"/>
      <c r="C745" s="11"/>
      <c r="D745" s="11"/>
      <c r="E745" s="11"/>
      <c r="F745" s="6"/>
      <c r="G745" s="11"/>
      <c r="H745" s="11"/>
      <c r="I745" s="6"/>
      <c r="J745" s="6"/>
      <c r="K745" s="6"/>
      <c r="L745" s="6"/>
      <c r="M745" s="6"/>
      <c r="N745" s="6"/>
      <c r="O745" s="6"/>
      <c r="P745" s="6"/>
      <c r="Q745" s="6"/>
    </row>
    <row r="746" ht="19.5" customHeight="1">
      <c r="A746" s="22"/>
      <c r="B746" s="6"/>
      <c r="C746" s="11"/>
      <c r="D746" s="11"/>
      <c r="E746" s="11"/>
      <c r="F746" s="6"/>
      <c r="G746" s="11"/>
      <c r="H746" s="11"/>
      <c r="I746" s="6"/>
      <c r="J746" s="6"/>
      <c r="K746" s="6"/>
      <c r="L746" s="6"/>
      <c r="M746" s="6"/>
      <c r="N746" s="6"/>
      <c r="O746" s="6"/>
      <c r="P746" s="6"/>
      <c r="Q746" s="6"/>
    </row>
    <row r="747" ht="19.5" customHeight="1">
      <c r="A747" s="22"/>
      <c r="B747" s="6"/>
      <c r="C747" s="11"/>
      <c r="D747" s="11"/>
      <c r="E747" s="11"/>
      <c r="F747" s="6"/>
      <c r="G747" s="11"/>
      <c r="H747" s="11"/>
      <c r="I747" s="6"/>
      <c r="J747" s="6"/>
      <c r="K747" s="6"/>
      <c r="L747" s="6"/>
      <c r="M747" s="6"/>
      <c r="N747" s="6"/>
      <c r="O747" s="6"/>
      <c r="P747" s="6"/>
      <c r="Q747" s="6"/>
    </row>
    <row r="748" ht="19.5" customHeight="1">
      <c r="A748" s="22"/>
      <c r="B748" s="6"/>
      <c r="C748" s="11"/>
      <c r="D748" s="11"/>
      <c r="E748" s="11"/>
      <c r="F748" s="6"/>
      <c r="G748" s="11"/>
      <c r="H748" s="11"/>
      <c r="I748" s="6"/>
      <c r="J748" s="6"/>
      <c r="K748" s="6"/>
      <c r="L748" s="6"/>
      <c r="M748" s="6"/>
      <c r="N748" s="6"/>
      <c r="O748" s="6"/>
      <c r="P748" s="6"/>
      <c r="Q748" s="6"/>
    </row>
    <row r="749" ht="19.5" customHeight="1">
      <c r="A749" s="22"/>
      <c r="B749" s="6"/>
      <c r="C749" s="11"/>
      <c r="D749" s="11"/>
      <c r="E749" s="11"/>
      <c r="F749" s="6"/>
      <c r="G749" s="11"/>
      <c r="H749" s="11"/>
      <c r="I749" s="6"/>
      <c r="J749" s="6"/>
      <c r="K749" s="6"/>
      <c r="L749" s="6"/>
      <c r="M749" s="6"/>
      <c r="N749" s="6"/>
      <c r="O749" s="6"/>
      <c r="P749" s="6"/>
      <c r="Q749" s="6"/>
    </row>
    <row r="750" ht="19.5" customHeight="1">
      <c r="A750" s="22"/>
      <c r="B750" s="6"/>
      <c r="C750" s="11"/>
      <c r="D750" s="11"/>
      <c r="E750" s="11"/>
      <c r="F750" s="6"/>
      <c r="G750" s="11"/>
      <c r="H750" s="11"/>
      <c r="I750" s="6"/>
      <c r="J750" s="6"/>
      <c r="K750" s="6"/>
      <c r="L750" s="6"/>
      <c r="M750" s="6"/>
      <c r="N750" s="6"/>
      <c r="O750" s="6"/>
      <c r="P750" s="6"/>
      <c r="Q750" s="6"/>
    </row>
    <row r="751" ht="19.5" customHeight="1">
      <c r="A751" s="22"/>
      <c r="B751" s="6"/>
      <c r="C751" s="11"/>
      <c r="D751" s="11"/>
      <c r="E751" s="11"/>
      <c r="F751" s="6"/>
      <c r="G751" s="11"/>
      <c r="H751" s="11"/>
      <c r="I751" s="6"/>
      <c r="J751" s="6"/>
      <c r="K751" s="6"/>
      <c r="L751" s="6"/>
      <c r="M751" s="6"/>
      <c r="N751" s="6"/>
      <c r="O751" s="6"/>
      <c r="P751" s="6"/>
      <c r="Q751" s="6"/>
    </row>
    <row r="752" ht="19.5" customHeight="1">
      <c r="A752" s="22"/>
      <c r="B752" s="6"/>
      <c r="C752" s="11"/>
      <c r="D752" s="11"/>
      <c r="E752" s="11"/>
      <c r="F752" s="6"/>
      <c r="G752" s="11"/>
      <c r="H752" s="11"/>
      <c r="I752" s="6"/>
      <c r="J752" s="6"/>
      <c r="K752" s="6"/>
      <c r="L752" s="6"/>
      <c r="M752" s="6"/>
      <c r="N752" s="6"/>
      <c r="O752" s="6"/>
      <c r="P752" s="6"/>
      <c r="Q752" s="6"/>
    </row>
    <row r="753" ht="19.5" customHeight="1">
      <c r="A753" s="22"/>
      <c r="B753" s="6"/>
      <c r="C753" s="11"/>
      <c r="D753" s="11"/>
      <c r="E753" s="11"/>
      <c r="F753" s="6"/>
      <c r="G753" s="11"/>
      <c r="H753" s="11"/>
      <c r="I753" s="6"/>
      <c r="J753" s="6"/>
      <c r="K753" s="6"/>
      <c r="L753" s="6"/>
      <c r="M753" s="6"/>
      <c r="N753" s="6"/>
      <c r="O753" s="6"/>
      <c r="P753" s="6"/>
      <c r="Q753" s="6"/>
    </row>
    <row r="754" ht="19.5" customHeight="1">
      <c r="A754" s="22"/>
      <c r="B754" s="6"/>
      <c r="C754" s="11"/>
      <c r="D754" s="11"/>
      <c r="E754" s="11"/>
      <c r="F754" s="6"/>
      <c r="G754" s="11"/>
      <c r="H754" s="11"/>
      <c r="I754" s="6"/>
      <c r="J754" s="6"/>
      <c r="K754" s="6"/>
      <c r="L754" s="6"/>
      <c r="M754" s="6"/>
      <c r="N754" s="6"/>
      <c r="O754" s="6"/>
      <c r="P754" s="6"/>
      <c r="Q754" s="6"/>
    </row>
    <row r="755" ht="19.5" customHeight="1">
      <c r="A755" s="22"/>
      <c r="B755" s="6"/>
      <c r="C755" s="11"/>
      <c r="D755" s="11"/>
      <c r="E755" s="11"/>
      <c r="F755" s="6"/>
      <c r="G755" s="11"/>
      <c r="H755" s="11"/>
      <c r="I755" s="6"/>
      <c r="J755" s="6"/>
      <c r="K755" s="6"/>
      <c r="L755" s="6"/>
      <c r="M755" s="6"/>
      <c r="N755" s="6"/>
      <c r="O755" s="6"/>
      <c r="P755" s="6"/>
      <c r="Q755" s="6"/>
    </row>
    <row r="756" ht="19.5" customHeight="1">
      <c r="A756" s="22"/>
      <c r="B756" s="6"/>
      <c r="C756" s="11"/>
      <c r="D756" s="11"/>
      <c r="E756" s="11"/>
      <c r="F756" s="6"/>
      <c r="G756" s="11"/>
      <c r="H756" s="11"/>
      <c r="I756" s="6"/>
      <c r="J756" s="6"/>
      <c r="K756" s="6"/>
      <c r="L756" s="6"/>
      <c r="M756" s="6"/>
      <c r="N756" s="6"/>
      <c r="O756" s="6"/>
      <c r="P756" s="6"/>
      <c r="Q756" s="6"/>
    </row>
    <row r="757" ht="19.5" customHeight="1">
      <c r="A757" s="22"/>
      <c r="B757" s="6"/>
      <c r="C757" s="11"/>
      <c r="D757" s="11"/>
      <c r="E757" s="11"/>
      <c r="F757" s="6"/>
      <c r="G757" s="11"/>
      <c r="H757" s="11"/>
      <c r="I757" s="6"/>
      <c r="J757" s="6"/>
      <c r="K757" s="6"/>
      <c r="L757" s="6"/>
      <c r="M757" s="6"/>
      <c r="N757" s="6"/>
      <c r="O757" s="6"/>
      <c r="P757" s="6"/>
      <c r="Q757" s="6"/>
    </row>
    <row r="758" ht="19.5" customHeight="1">
      <c r="A758" s="22"/>
      <c r="B758" s="6"/>
      <c r="C758" s="11"/>
      <c r="D758" s="11"/>
      <c r="E758" s="11"/>
      <c r="F758" s="6"/>
      <c r="G758" s="11"/>
      <c r="H758" s="11"/>
      <c r="I758" s="6"/>
      <c r="J758" s="6"/>
      <c r="K758" s="6"/>
      <c r="L758" s="6"/>
      <c r="M758" s="6"/>
      <c r="N758" s="6"/>
      <c r="O758" s="6"/>
      <c r="P758" s="6"/>
      <c r="Q758" s="6"/>
    </row>
    <row r="759" ht="19.5" customHeight="1">
      <c r="A759" s="22"/>
      <c r="B759" s="6"/>
      <c r="C759" s="11"/>
      <c r="D759" s="11"/>
      <c r="E759" s="11"/>
      <c r="F759" s="6"/>
      <c r="G759" s="11"/>
      <c r="H759" s="11"/>
      <c r="I759" s="6"/>
      <c r="J759" s="6"/>
      <c r="K759" s="6"/>
      <c r="L759" s="6"/>
      <c r="M759" s="6"/>
      <c r="N759" s="6"/>
      <c r="O759" s="6"/>
      <c r="P759" s="6"/>
      <c r="Q759" s="6"/>
    </row>
    <row r="760" ht="19.5" customHeight="1">
      <c r="A760" s="22"/>
      <c r="B760" s="6"/>
      <c r="C760" s="11"/>
      <c r="D760" s="11"/>
      <c r="E760" s="11"/>
      <c r="F760" s="6"/>
      <c r="G760" s="11"/>
      <c r="H760" s="11"/>
      <c r="I760" s="6"/>
      <c r="J760" s="6"/>
      <c r="K760" s="6"/>
      <c r="L760" s="6"/>
      <c r="M760" s="6"/>
      <c r="N760" s="6"/>
      <c r="O760" s="6"/>
      <c r="P760" s="6"/>
      <c r="Q760" s="6"/>
    </row>
    <row r="761" ht="19.5" customHeight="1">
      <c r="A761" s="22"/>
      <c r="B761" s="6"/>
      <c r="C761" s="11"/>
      <c r="D761" s="11"/>
      <c r="E761" s="11"/>
      <c r="F761" s="6"/>
      <c r="G761" s="11"/>
      <c r="H761" s="11"/>
      <c r="I761" s="6"/>
      <c r="J761" s="6"/>
      <c r="K761" s="6"/>
      <c r="L761" s="6"/>
      <c r="M761" s="6"/>
      <c r="N761" s="6"/>
      <c r="O761" s="6"/>
      <c r="P761" s="6"/>
      <c r="Q761" s="6"/>
    </row>
    <row r="762" ht="19.5" customHeight="1">
      <c r="A762" s="22"/>
      <c r="B762" s="6"/>
      <c r="C762" s="11"/>
      <c r="D762" s="11"/>
      <c r="E762" s="11"/>
      <c r="F762" s="6"/>
      <c r="G762" s="11"/>
      <c r="H762" s="11"/>
      <c r="I762" s="6"/>
      <c r="J762" s="6"/>
      <c r="K762" s="6"/>
      <c r="L762" s="6"/>
      <c r="M762" s="6"/>
      <c r="N762" s="6"/>
      <c r="O762" s="6"/>
      <c r="P762" s="6"/>
      <c r="Q762" s="6"/>
    </row>
    <row r="763" ht="19.5" customHeight="1">
      <c r="A763" s="22"/>
      <c r="B763" s="6"/>
      <c r="C763" s="11"/>
      <c r="D763" s="11"/>
      <c r="E763" s="11"/>
      <c r="F763" s="6"/>
      <c r="G763" s="11"/>
      <c r="H763" s="11"/>
      <c r="I763" s="6"/>
      <c r="J763" s="6"/>
      <c r="K763" s="6"/>
      <c r="L763" s="6"/>
      <c r="M763" s="6"/>
      <c r="N763" s="6"/>
      <c r="O763" s="6"/>
      <c r="P763" s="6"/>
      <c r="Q763" s="6"/>
    </row>
    <row r="764" ht="19.5" customHeight="1">
      <c r="A764" s="22"/>
      <c r="B764" s="6"/>
      <c r="C764" s="11"/>
      <c r="D764" s="11"/>
      <c r="E764" s="11"/>
      <c r="F764" s="6"/>
      <c r="G764" s="11"/>
      <c r="H764" s="11"/>
      <c r="I764" s="6"/>
      <c r="J764" s="6"/>
      <c r="K764" s="6"/>
      <c r="L764" s="6"/>
      <c r="M764" s="6"/>
      <c r="N764" s="6"/>
      <c r="O764" s="6"/>
      <c r="P764" s="6"/>
      <c r="Q764" s="6"/>
    </row>
    <row r="765" ht="19.5" customHeight="1">
      <c r="A765" s="22"/>
      <c r="B765" s="6"/>
      <c r="C765" s="11"/>
      <c r="D765" s="11"/>
      <c r="E765" s="11"/>
      <c r="F765" s="6"/>
      <c r="G765" s="11"/>
      <c r="H765" s="11"/>
      <c r="I765" s="6"/>
      <c r="J765" s="6"/>
      <c r="K765" s="6"/>
      <c r="L765" s="6"/>
      <c r="M765" s="6"/>
      <c r="N765" s="6"/>
      <c r="O765" s="6"/>
      <c r="P765" s="6"/>
      <c r="Q765" s="6"/>
    </row>
    <row r="766" ht="19.5" customHeight="1">
      <c r="A766" s="22"/>
      <c r="B766" s="6"/>
      <c r="C766" s="11"/>
      <c r="D766" s="11"/>
      <c r="E766" s="11"/>
      <c r="F766" s="6"/>
      <c r="G766" s="11"/>
      <c r="H766" s="11"/>
      <c r="I766" s="6"/>
      <c r="J766" s="6"/>
      <c r="K766" s="6"/>
      <c r="L766" s="6"/>
      <c r="M766" s="6"/>
      <c r="N766" s="6"/>
      <c r="O766" s="6"/>
      <c r="P766" s="6"/>
      <c r="Q766" s="6"/>
    </row>
    <row r="767" ht="19.5" customHeight="1">
      <c r="A767" s="22"/>
      <c r="B767" s="6"/>
      <c r="C767" s="11"/>
      <c r="D767" s="11"/>
      <c r="E767" s="11"/>
      <c r="F767" s="6"/>
      <c r="G767" s="11"/>
      <c r="H767" s="11"/>
      <c r="I767" s="6"/>
      <c r="J767" s="6"/>
      <c r="K767" s="6"/>
      <c r="L767" s="6"/>
      <c r="M767" s="6"/>
      <c r="N767" s="6"/>
      <c r="O767" s="6"/>
      <c r="P767" s="6"/>
      <c r="Q767" s="6"/>
    </row>
    <row r="768" ht="19.5" customHeight="1">
      <c r="A768" s="22"/>
      <c r="B768" s="6"/>
      <c r="C768" s="11"/>
      <c r="D768" s="11"/>
      <c r="E768" s="11"/>
      <c r="F768" s="6"/>
      <c r="G768" s="11"/>
      <c r="H768" s="11"/>
      <c r="I768" s="6"/>
      <c r="J768" s="6"/>
      <c r="K768" s="6"/>
      <c r="L768" s="6"/>
      <c r="M768" s="6"/>
      <c r="N768" s="6"/>
      <c r="O768" s="6"/>
      <c r="P768" s="6"/>
      <c r="Q768" s="6"/>
    </row>
    <row r="769" ht="19.5" customHeight="1">
      <c r="A769" s="22"/>
      <c r="B769" s="6"/>
      <c r="C769" s="11"/>
      <c r="D769" s="11"/>
      <c r="E769" s="11"/>
      <c r="F769" s="6"/>
      <c r="G769" s="11"/>
      <c r="H769" s="11"/>
      <c r="I769" s="6"/>
      <c r="J769" s="6"/>
      <c r="K769" s="6"/>
      <c r="L769" s="6"/>
      <c r="M769" s="6"/>
      <c r="N769" s="6"/>
      <c r="O769" s="6"/>
      <c r="P769" s="6"/>
      <c r="Q769" s="6"/>
    </row>
    <row r="770" ht="19.5" customHeight="1">
      <c r="A770" s="22"/>
      <c r="B770" s="6"/>
      <c r="C770" s="11"/>
      <c r="D770" s="11"/>
      <c r="E770" s="11"/>
      <c r="F770" s="6"/>
      <c r="G770" s="11"/>
      <c r="H770" s="11"/>
      <c r="I770" s="6"/>
      <c r="J770" s="6"/>
      <c r="K770" s="6"/>
      <c r="L770" s="6"/>
      <c r="M770" s="6"/>
      <c r="N770" s="6"/>
      <c r="O770" s="6"/>
      <c r="P770" s="6"/>
      <c r="Q770" s="6"/>
    </row>
    <row r="771" ht="19.5" customHeight="1">
      <c r="A771" s="22"/>
      <c r="B771" s="6"/>
      <c r="C771" s="11"/>
      <c r="D771" s="11"/>
      <c r="E771" s="11"/>
      <c r="F771" s="6"/>
      <c r="G771" s="11"/>
      <c r="H771" s="11"/>
      <c r="I771" s="6"/>
      <c r="J771" s="6"/>
      <c r="K771" s="6"/>
      <c r="L771" s="6"/>
      <c r="M771" s="6"/>
      <c r="N771" s="6"/>
      <c r="O771" s="6"/>
      <c r="P771" s="6"/>
      <c r="Q771" s="6"/>
    </row>
    <row r="772" ht="19.5" customHeight="1">
      <c r="A772" s="22"/>
      <c r="B772" s="6"/>
      <c r="C772" s="11"/>
      <c r="D772" s="11"/>
      <c r="E772" s="11"/>
      <c r="F772" s="6"/>
      <c r="G772" s="11"/>
      <c r="H772" s="11"/>
      <c r="I772" s="6"/>
      <c r="J772" s="6"/>
      <c r="K772" s="6"/>
      <c r="L772" s="6"/>
      <c r="M772" s="6"/>
      <c r="N772" s="6"/>
      <c r="O772" s="6"/>
      <c r="P772" s="6"/>
      <c r="Q772" s="6"/>
    </row>
    <row r="773" ht="19.5" customHeight="1">
      <c r="A773" s="22"/>
      <c r="B773" s="6"/>
      <c r="C773" s="11"/>
      <c r="D773" s="11"/>
      <c r="E773" s="11"/>
      <c r="F773" s="6"/>
      <c r="G773" s="11"/>
      <c r="H773" s="11"/>
      <c r="I773" s="6"/>
      <c r="J773" s="6"/>
      <c r="K773" s="6"/>
      <c r="L773" s="6"/>
      <c r="M773" s="6"/>
      <c r="N773" s="6"/>
      <c r="O773" s="6"/>
      <c r="P773" s="6"/>
      <c r="Q773" s="6"/>
    </row>
    <row r="774" ht="19.5" customHeight="1">
      <c r="A774" s="22"/>
      <c r="B774" s="6"/>
      <c r="C774" s="11"/>
      <c r="D774" s="11"/>
      <c r="E774" s="11"/>
      <c r="F774" s="6"/>
      <c r="G774" s="11"/>
      <c r="H774" s="11"/>
      <c r="I774" s="6"/>
      <c r="J774" s="6"/>
      <c r="K774" s="6"/>
      <c r="L774" s="6"/>
      <c r="M774" s="6"/>
      <c r="N774" s="6"/>
      <c r="O774" s="6"/>
      <c r="P774" s="6"/>
      <c r="Q774" s="6"/>
    </row>
    <row r="775" ht="19.5" customHeight="1">
      <c r="A775" s="22"/>
      <c r="B775" s="6"/>
      <c r="C775" s="11"/>
      <c r="D775" s="11"/>
      <c r="E775" s="11"/>
      <c r="F775" s="6"/>
      <c r="G775" s="11"/>
      <c r="H775" s="11"/>
      <c r="I775" s="6"/>
      <c r="J775" s="6"/>
      <c r="K775" s="6"/>
      <c r="L775" s="6"/>
      <c r="M775" s="6"/>
      <c r="N775" s="6"/>
      <c r="O775" s="6"/>
      <c r="P775" s="6"/>
      <c r="Q775" s="6"/>
    </row>
    <row r="776" ht="19.5" customHeight="1">
      <c r="A776" s="22"/>
      <c r="B776" s="6"/>
      <c r="C776" s="11"/>
      <c r="D776" s="11"/>
      <c r="E776" s="11"/>
      <c r="F776" s="6"/>
      <c r="G776" s="11"/>
      <c r="H776" s="11"/>
      <c r="I776" s="6"/>
      <c r="J776" s="6"/>
      <c r="K776" s="6"/>
      <c r="L776" s="6"/>
      <c r="M776" s="6"/>
      <c r="N776" s="6"/>
      <c r="O776" s="6"/>
      <c r="P776" s="6"/>
      <c r="Q776" s="6"/>
    </row>
    <row r="777" ht="19.5" customHeight="1">
      <c r="A777" s="22"/>
      <c r="B777" s="6"/>
      <c r="C777" s="11"/>
      <c r="D777" s="11"/>
      <c r="E777" s="11"/>
      <c r="F777" s="6"/>
      <c r="G777" s="11"/>
      <c r="H777" s="11"/>
      <c r="I777" s="6"/>
      <c r="J777" s="6"/>
      <c r="K777" s="6"/>
      <c r="L777" s="6"/>
      <c r="M777" s="6"/>
      <c r="N777" s="6"/>
      <c r="O777" s="6"/>
      <c r="P777" s="6"/>
      <c r="Q777" s="6"/>
    </row>
    <row r="778" ht="19.5" customHeight="1">
      <c r="A778" s="22"/>
      <c r="B778" s="6"/>
      <c r="C778" s="11"/>
      <c r="D778" s="11"/>
      <c r="E778" s="11"/>
      <c r="F778" s="6"/>
      <c r="G778" s="11"/>
      <c r="H778" s="11"/>
      <c r="I778" s="6"/>
      <c r="J778" s="6"/>
      <c r="K778" s="6"/>
      <c r="L778" s="6"/>
      <c r="M778" s="6"/>
      <c r="N778" s="6"/>
      <c r="O778" s="6"/>
      <c r="P778" s="6"/>
      <c r="Q778" s="6"/>
    </row>
    <row r="779" ht="19.5" customHeight="1">
      <c r="A779" s="22"/>
      <c r="B779" s="6"/>
      <c r="C779" s="11"/>
      <c r="D779" s="11"/>
      <c r="E779" s="11"/>
      <c r="F779" s="6"/>
      <c r="G779" s="11"/>
      <c r="H779" s="11"/>
      <c r="I779" s="6"/>
      <c r="J779" s="6"/>
      <c r="K779" s="6"/>
      <c r="L779" s="6"/>
      <c r="M779" s="6"/>
      <c r="N779" s="6"/>
      <c r="O779" s="6"/>
      <c r="P779" s="6"/>
      <c r="Q779" s="6"/>
    </row>
    <row r="780" ht="19.5" customHeight="1">
      <c r="A780" s="22"/>
      <c r="B780" s="6"/>
      <c r="C780" s="11"/>
      <c r="D780" s="11"/>
      <c r="E780" s="11"/>
      <c r="F780" s="6"/>
      <c r="G780" s="11"/>
      <c r="H780" s="11"/>
      <c r="I780" s="6"/>
      <c r="J780" s="6"/>
      <c r="K780" s="6"/>
      <c r="L780" s="6"/>
      <c r="M780" s="6"/>
      <c r="N780" s="6"/>
      <c r="O780" s="6"/>
      <c r="P780" s="6"/>
      <c r="Q780" s="6"/>
    </row>
    <row r="781" ht="19.5" customHeight="1">
      <c r="A781" s="22"/>
      <c r="B781" s="6"/>
      <c r="C781" s="11"/>
      <c r="D781" s="11"/>
      <c r="E781" s="11"/>
      <c r="F781" s="6"/>
      <c r="G781" s="11"/>
      <c r="H781" s="11"/>
      <c r="I781" s="6"/>
      <c r="J781" s="6"/>
      <c r="K781" s="6"/>
      <c r="L781" s="6"/>
      <c r="M781" s="6"/>
      <c r="N781" s="6"/>
      <c r="O781" s="6"/>
      <c r="P781" s="6"/>
      <c r="Q781" s="6"/>
    </row>
    <row r="782" ht="19.5" customHeight="1">
      <c r="A782" s="22"/>
      <c r="B782" s="6"/>
      <c r="C782" s="11"/>
      <c r="D782" s="11"/>
      <c r="E782" s="11"/>
      <c r="F782" s="6"/>
      <c r="G782" s="11"/>
      <c r="H782" s="11"/>
      <c r="I782" s="6"/>
      <c r="J782" s="6"/>
      <c r="K782" s="6"/>
      <c r="L782" s="6"/>
      <c r="M782" s="6"/>
      <c r="N782" s="6"/>
      <c r="O782" s="6"/>
      <c r="P782" s="6"/>
      <c r="Q782" s="6"/>
    </row>
    <row r="783" ht="19.5" customHeight="1">
      <c r="A783" s="22"/>
      <c r="B783" s="6"/>
      <c r="C783" s="11"/>
      <c r="D783" s="11"/>
      <c r="E783" s="11"/>
      <c r="F783" s="6"/>
      <c r="G783" s="11"/>
      <c r="H783" s="11"/>
      <c r="I783" s="6"/>
      <c r="J783" s="6"/>
      <c r="K783" s="6"/>
      <c r="L783" s="6"/>
      <c r="M783" s="6"/>
      <c r="N783" s="6"/>
      <c r="O783" s="6"/>
      <c r="P783" s="6"/>
      <c r="Q783" s="6"/>
    </row>
    <row r="784" ht="19.5" customHeight="1">
      <c r="A784" s="22"/>
      <c r="B784" s="6"/>
      <c r="C784" s="11"/>
      <c r="D784" s="11"/>
      <c r="E784" s="11"/>
      <c r="F784" s="6"/>
      <c r="G784" s="11"/>
      <c r="H784" s="11"/>
      <c r="I784" s="6"/>
      <c r="J784" s="6"/>
      <c r="K784" s="6"/>
      <c r="L784" s="6"/>
      <c r="M784" s="6"/>
      <c r="N784" s="6"/>
      <c r="O784" s="6"/>
      <c r="P784" s="6"/>
      <c r="Q784" s="6"/>
    </row>
    <row r="785" ht="19.5" customHeight="1">
      <c r="A785" s="22"/>
      <c r="B785" s="6"/>
      <c r="C785" s="11"/>
      <c r="D785" s="11"/>
      <c r="E785" s="11"/>
      <c r="F785" s="6"/>
      <c r="G785" s="11"/>
      <c r="H785" s="11"/>
      <c r="I785" s="6"/>
      <c r="J785" s="6"/>
      <c r="K785" s="6"/>
      <c r="L785" s="6"/>
      <c r="M785" s="6"/>
      <c r="N785" s="6"/>
      <c r="O785" s="6"/>
      <c r="P785" s="6"/>
      <c r="Q785" s="6"/>
    </row>
    <row r="786" ht="19.5" customHeight="1">
      <c r="A786" s="22"/>
      <c r="B786" s="6"/>
      <c r="C786" s="11"/>
      <c r="D786" s="11"/>
      <c r="E786" s="11"/>
      <c r="F786" s="6"/>
      <c r="G786" s="11"/>
      <c r="H786" s="11"/>
      <c r="I786" s="6"/>
      <c r="J786" s="6"/>
      <c r="K786" s="6"/>
      <c r="L786" s="6"/>
      <c r="M786" s="6"/>
      <c r="N786" s="6"/>
      <c r="O786" s="6"/>
      <c r="P786" s="6"/>
      <c r="Q786" s="6"/>
    </row>
    <row r="787" ht="19.5" customHeight="1">
      <c r="A787" s="22"/>
      <c r="B787" s="6"/>
      <c r="C787" s="11"/>
      <c r="D787" s="11"/>
      <c r="E787" s="11"/>
      <c r="F787" s="6"/>
      <c r="G787" s="11"/>
      <c r="H787" s="11"/>
      <c r="I787" s="6"/>
      <c r="J787" s="6"/>
      <c r="K787" s="6"/>
      <c r="L787" s="6"/>
      <c r="M787" s="6"/>
      <c r="N787" s="6"/>
      <c r="O787" s="6"/>
      <c r="P787" s="6"/>
      <c r="Q787" s="6"/>
    </row>
    <row r="788" ht="19.5" customHeight="1">
      <c r="A788" s="22"/>
      <c r="B788" s="6"/>
      <c r="C788" s="11"/>
      <c r="D788" s="11"/>
      <c r="E788" s="11"/>
      <c r="F788" s="6"/>
      <c r="G788" s="11"/>
      <c r="H788" s="11"/>
      <c r="I788" s="6"/>
      <c r="J788" s="6"/>
      <c r="K788" s="6"/>
      <c r="L788" s="6"/>
      <c r="M788" s="6"/>
      <c r="N788" s="6"/>
      <c r="O788" s="6"/>
      <c r="P788" s="6"/>
      <c r="Q788" s="6"/>
    </row>
    <row r="789" ht="19.5" customHeight="1">
      <c r="A789" s="22"/>
      <c r="B789" s="6"/>
      <c r="C789" s="11"/>
      <c r="D789" s="11"/>
      <c r="E789" s="11"/>
      <c r="F789" s="6"/>
      <c r="G789" s="11"/>
      <c r="H789" s="11"/>
      <c r="I789" s="6"/>
      <c r="J789" s="6"/>
      <c r="K789" s="6"/>
      <c r="L789" s="6"/>
      <c r="M789" s="6"/>
      <c r="N789" s="6"/>
      <c r="O789" s="6"/>
      <c r="P789" s="6"/>
      <c r="Q789" s="6"/>
    </row>
    <row r="790" ht="19.5" customHeight="1">
      <c r="A790" s="22"/>
      <c r="B790" s="6"/>
      <c r="C790" s="11"/>
      <c r="D790" s="11"/>
      <c r="E790" s="11"/>
      <c r="F790" s="6"/>
      <c r="G790" s="11"/>
      <c r="H790" s="11"/>
      <c r="I790" s="6"/>
      <c r="J790" s="6"/>
      <c r="K790" s="6"/>
      <c r="L790" s="6"/>
      <c r="M790" s="6"/>
      <c r="N790" s="6"/>
      <c r="O790" s="6"/>
      <c r="P790" s="6"/>
      <c r="Q790" s="6"/>
    </row>
    <row r="791" ht="19.5" customHeight="1">
      <c r="A791" s="22"/>
      <c r="B791" s="6"/>
      <c r="C791" s="11"/>
      <c r="D791" s="11"/>
      <c r="E791" s="11"/>
      <c r="F791" s="6"/>
      <c r="G791" s="11"/>
      <c r="H791" s="11"/>
      <c r="I791" s="6"/>
      <c r="J791" s="6"/>
      <c r="K791" s="6"/>
      <c r="L791" s="6"/>
      <c r="M791" s="6"/>
      <c r="N791" s="6"/>
      <c r="O791" s="6"/>
      <c r="P791" s="6"/>
      <c r="Q791" s="6"/>
    </row>
    <row r="792" ht="19.5" customHeight="1">
      <c r="A792" s="22"/>
      <c r="B792" s="6"/>
      <c r="C792" s="11"/>
      <c r="D792" s="11"/>
      <c r="E792" s="11"/>
      <c r="F792" s="6"/>
      <c r="G792" s="11"/>
      <c r="H792" s="11"/>
      <c r="I792" s="6"/>
      <c r="J792" s="6"/>
      <c r="K792" s="6"/>
      <c r="L792" s="6"/>
      <c r="M792" s="6"/>
      <c r="N792" s="6"/>
      <c r="O792" s="6"/>
      <c r="P792" s="6"/>
      <c r="Q792" s="6"/>
    </row>
    <row r="793" ht="19.5" customHeight="1">
      <c r="A793" s="22"/>
      <c r="B793" s="6"/>
      <c r="C793" s="11"/>
      <c r="D793" s="11"/>
      <c r="E793" s="11"/>
      <c r="F793" s="6"/>
      <c r="G793" s="11"/>
      <c r="H793" s="11"/>
      <c r="I793" s="6"/>
      <c r="J793" s="6"/>
      <c r="K793" s="6"/>
      <c r="L793" s="6"/>
      <c r="M793" s="6"/>
      <c r="N793" s="6"/>
      <c r="O793" s="6"/>
      <c r="P793" s="6"/>
      <c r="Q793" s="6"/>
    </row>
    <row r="794" ht="19.5" customHeight="1">
      <c r="A794" s="22"/>
      <c r="B794" s="6"/>
      <c r="C794" s="11"/>
      <c r="D794" s="11"/>
      <c r="E794" s="11"/>
      <c r="F794" s="6"/>
      <c r="G794" s="11"/>
      <c r="H794" s="11"/>
      <c r="I794" s="6"/>
      <c r="J794" s="6"/>
      <c r="K794" s="6"/>
      <c r="L794" s="6"/>
      <c r="M794" s="6"/>
      <c r="N794" s="6"/>
      <c r="O794" s="6"/>
      <c r="P794" s="6"/>
      <c r="Q794" s="6"/>
    </row>
    <row r="795" ht="19.5" customHeight="1">
      <c r="A795" s="22"/>
      <c r="B795" s="6"/>
      <c r="C795" s="11"/>
      <c r="D795" s="11"/>
      <c r="E795" s="11"/>
      <c r="F795" s="6"/>
      <c r="G795" s="11"/>
      <c r="H795" s="11"/>
      <c r="I795" s="6"/>
      <c r="J795" s="6"/>
      <c r="K795" s="6"/>
      <c r="L795" s="6"/>
      <c r="M795" s="6"/>
      <c r="N795" s="6"/>
      <c r="O795" s="6"/>
      <c r="P795" s="6"/>
      <c r="Q795" s="6"/>
    </row>
    <row r="796" ht="19.5" customHeight="1">
      <c r="A796" s="22"/>
      <c r="B796" s="6"/>
      <c r="C796" s="11"/>
      <c r="D796" s="11"/>
      <c r="E796" s="11"/>
      <c r="F796" s="6"/>
      <c r="G796" s="11"/>
      <c r="H796" s="11"/>
      <c r="I796" s="6"/>
      <c r="J796" s="6"/>
      <c r="K796" s="6"/>
      <c r="L796" s="6"/>
      <c r="M796" s="6"/>
      <c r="N796" s="6"/>
      <c r="O796" s="6"/>
      <c r="P796" s="6"/>
      <c r="Q796" s="6"/>
    </row>
    <row r="797" ht="19.5" customHeight="1">
      <c r="A797" s="22"/>
      <c r="B797" s="6"/>
      <c r="C797" s="11"/>
      <c r="D797" s="11"/>
      <c r="E797" s="11"/>
      <c r="F797" s="6"/>
      <c r="G797" s="11"/>
      <c r="H797" s="11"/>
      <c r="I797" s="6"/>
      <c r="J797" s="6"/>
      <c r="K797" s="6"/>
      <c r="L797" s="6"/>
      <c r="M797" s="6"/>
      <c r="N797" s="6"/>
      <c r="O797" s="6"/>
      <c r="P797" s="6"/>
      <c r="Q797" s="6"/>
    </row>
    <row r="798" ht="19.5" customHeight="1">
      <c r="A798" s="22"/>
      <c r="B798" s="6"/>
      <c r="C798" s="11"/>
      <c r="D798" s="11"/>
      <c r="E798" s="11"/>
      <c r="F798" s="6"/>
      <c r="G798" s="11"/>
      <c r="H798" s="11"/>
      <c r="I798" s="6"/>
      <c r="J798" s="6"/>
      <c r="K798" s="6"/>
      <c r="L798" s="6"/>
      <c r="M798" s="6"/>
      <c r="N798" s="6"/>
      <c r="O798" s="6"/>
      <c r="P798" s="6"/>
      <c r="Q798" s="6"/>
    </row>
    <row r="799" ht="19.5" customHeight="1">
      <c r="A799" s="22"/>
      <c r="B799" s="6"/>
      <c r="C799" s="11"/>
      <c r="D799" s="11"/>
      <c r="E799" s="11"/>
      <c r="F799" s="6"/>
      <c r="G799" s="11"/>
      <c r="H799" s="11"/>
      <c r="I799" s="6"/>
      <c r="J799" s="6"/>
      <c r="K799" s="6"/>
      <c r="L799" s="6"/>
      <c r="M799" s="6"/>
      <c r="N799" s="6"/>
      <c r="O799" s="6"/>
      <c r="P799" s="6"/>
      <c r="Q799" s="6"/>
    </row>
    <row r="800" ht="19.5" customHeight="1">
      <c r="A800" s="22"/>
      <c r="B800" s="6"/>
      <c r="C800" s="11"/>
      <c r="D800" s="11"/>
      <c r="E800" s="11"/>
      <c r="F800" s="6"/>
      <c r="G800" s="11"/>
      <c r="H800" s="11"/>
      <c r="I800" s="6"/>
      <c r="J800" s="6"/>
      <c r="K800" s="6"/>
      <c r="L800" s="6"/>
      <c r="M800" s="6"/>
      <c r="N800" s="6"/>
      <c r="O800" s="6"/>
      <c r="P800" s="6"/>
      <c r="Q800" s="6"/>
    </row>
    <row r="801" ht="19.5" customHeight="1">
      <c r="A801" s="22"/>
      <c r="B801" s="6"/>
      <c r="C801" s="11"/>
      <c r="D801" s="11"/>
      <c r="E801" s="11"/>
      <c r="F801" s="6"/>
      <c r="G801" s="11"/>
      <c r="H801" s="11"/>
      <c r="I801" s="6"/>
      <c r="J801" s="6"/>
      <c r="K801" s="6"/>
      <c r="L801" s="6"/>
      <c r="M801" s="6"/>
      <c r="N801" s="6"/>
      <c r="O801" s="6"/>
      <c r="P801" s="6"/>
      <c r="Q801" s="6"/>
    </row>
    <row r="802" ht="19.5" customHeight="1">
      <c r="A802" s="22"/>
      <c r="B802" s="6"/>
      <c r="C802" s="11"/>
      <c r="D802" s="11"/>
      <c r="E802" s="11"/>
      <c r="F802" s="6"/>
      <c r="G802" s="11"/>
      <c r="H802" s="11"/>
      <c r="I802" s="6"/>
      <c r="J802" s="6"/>
      <c r="K802" s="6"/>
      <c r="L802" s="6"/>
      <c r="M802" s="6"/>
      <c r="N802" s="6"/>
      <c r="O802" s="6"/>
      <c r="P802" s="6"/>
      <c r="Q802" s="6"/>
    </row>
    <row r="803" ht="19.5" customHeight="1">
      <c r="A803" s="22"/>
      <c r="B803" s="6"/>
      <c r="C803" s="11"/>
      <c r="D803" s="11"/>
      <c r="E803" s="11"/>
      <c r="F803" s="6"/>
      <c r="G803" s="11"/>
      <c r="H803" s="11"/>
      <c r="I803" s="6"/>
      <c r="J803" s="6"/>
      <c r="K803" s="6"/>
      <c r="L803" s="6"/>
      <c r="M803" s="6"/>
      <c r="N803" s="6"/>
      <c r="O803" s="6"/>
      <c r="P803" s="6"/>
      <c r="Q803" s="6"/>
    </row>
    <row r="804" ht="19.5" customHeight="1">
      <c r="A804" s="22"/>
      <c r="B804" s="6"/>
      <c r="C804" s="11"/>
      <c r="D804" s="11"/>
      <c r="E804" s="11"/>
      <c r="F804" s="6"/>
      <c r="G804" s="11"/>
      <c r="H804" s="11"/>
      <c r="I804" s="6"/>
      <c r="J804" s="6"/>
      <c r="K804" s="6"/>
      <c r="L804" s="6"/>
      <c r="M804" s="6"/>
      <c r="N804" s="6"/>
      <c r="O804" s="6"/>
      <c r="P804" s="6"/>
      <c r="Q804" s="6"/>
    </row>
    <row r="805" ht="19.5" customHeight="1">
      <c r="A805" s="22"/>
      <c r="B805" s="6"/>
      <c r="C805" s="11"/>
      <c r="D805" s="11"/>
      <c r="E805" s="11"/>
      <c r="F805" s="6"/>
      <c r="G805" s="11"/>
      <c r="H805" s="11"/>
      <c r="I805" s="6"/>
      <c r="J805" s="6"/>
      <c r="K805" s="6"/>
      <c r="L805" s="6"/>
      <c r="M805" s="6"/>
      <c r="N805" s="6"/>
      <c r="O805" s="6"/>
      <c r="P805" s="6"/>
      <c r="Q805" s="6"/>
    </row>
    <row r="806" ht="19.5" customHeight="1">
      <c r="A806" s="22"/>
      <c r="B806" s="6"/>
      <c r="C806" s="11"/>
      <c r="D806" s="11"/>
      <c r="E806" s="11"/>
      <c r="F806" s="6"/>
      <c r="G806" s="11"/>
      <c r="H806" s="11"/>
      <c r="I806" s="6"/>
      <c r="J806" s="6"/>
      <c r="K806" s="6"/>
      <c r="L806" s="6"/>
      <c r="M806" s="6"/>
      <c r="N806" s="6"/>
      <c r="O806" s="6"/>
      <c r="P806" s="6"/>
      <c r="Q806" s="6"/>
    </row>
    <row r="807" ht="19.5" customHeight="1">
      <c r="A807" s="22"/>
      <c r="B807" s="6"/>
      <c r="C807" s="11"/>
      <c r="D807" s="11"/>
      <c r="E807" s="11"/>
      <c r="F807" s="6"/>
      <c r="G807" s="11"/>
      <c r="H807" s="11"/>
      <c r="I807" s="6"/>
      <c r="J807" s="6"/>
      <c r="K807" s="6"/>
      <c r="L807" s="6"/>
      <c r="M807" s="6"/>
      <c r="N807" s="6"/>
      <c r="O807" s="6"/>
      <c r="P807" s="6"/>
      <c r="Q807" s="6"/>
    </row>
    <row r="808" ht="19.5" customHeight="1">
      <c r="A808" s="22"/>
      <c r="B808" s="6"/>
      <c r="C808" s="11"/>
      <c r="D808" s="11"/>
      <c r="E808" s="11"/>
      <c r="F808" s="6"/>
      <c r="G808" s="11"/>
      <c r="H808" s="11"/>
      <c r="I808" s="6"/>
      <c r="J808" s="6"/>
      <c r="K808" s="6"/>
      <c r="L808" s="6"/>
      <c r="M808" s="6"/>
      <c r="N808" s="6"/>
      <c r="O808" s="6"/>
      <c r="P808" s="6"/>
      <c r="Q808" s="6"/>
    </row>
    <row r="809" ht="19.5" customHeight="1">
      <c r="A809" s="22"/>
      <c r="B809" s="6"/>
      <c r="C809" s="11"/>
      <c r="D809" s="11"/>
      <c r="E809" s="11"/>
      <c r="F809" s="6"/>
      <c r="G809" s="11"/>
      <c r="H809" s="11"/>
      <c r="I809" s="6"/>
      <c r="J809" s="6"/>
      <c r="K809" s="6"/>
      <c r="L809" s="6"/>
      <c r="M809" s="6"/>
      <c r="N809" s="6"/>
      <c r="O809" s="6"/>
      <c r="P809" s="6"/>
      <c r="Q809" s="6"/>
    </row>
    <row r="810" ht="19.5" customHeight="1">
      <c r="A810" s="22"/>
      <c r="B810" s="6"/>
      <c r="C810" s="11"/>
      <c r="D810" s="11"/>
      <c r="E810" s="11"/>
      <c r="F810" s="6"/>
      <c r="G810" s="11"/>
      <c r="H810" s="11"/>
      <c r="I810" s="6"/>
      <c r="J810" s="6"/>
      <c r="K810" s="6"/>
      <c r="L810" s="6"/>
      <c r="M810" s="6"/>
      <c r="N810" s="6"/>
      <c r="O810" s="6"/>
      <c r="P810" s="6"/>
      <c r="Q810" s="6"/>
    </row>
    <row r="811" ht="19.5" customHeight="1">
      <c r="A811" s="22"/>
      <c r="B811" s="6"/>
      <c r="C811" s="11"/>
      <c r="D811" s="11"/>
      <c r="E811" s="11"/>
      <c r="F811" s="6"/>
      <c r="G811" s="11"/>
      <c r="H811" s="11"/>
      <c r="I811" s="6"/>
      <c r="J811" s="6"/>
      <c r="K811" s="6"/>
      <c r="L811" s="6"/>
      <c r="M811" s="6"/>
      <c r="N811" s="6"/>
      <c r="O811" s="6"/>
      <c r="P811" s="6"/>
      <c r="Q811" s="6"/>
    </row>
    <row r="812" ht="19.5" customHeight="1">
      <c r="A812" s="22"/>
      <c r="B812" s="6"/>
      <c r="C812" s="11"/>
      <c r="D812" s="11"/>
      <c r="E812" s="11"/>
      <c r="F812" s="6"/>
      <c r="G812" s="11"/>
      <c r="H812" s="11"/>
      <c r="I812" s="6"/>
      <c r="J812" s="6"/>
      <c r="K812" s="6"/>
      <c r="L812" s="6"/>
      <c r="M812" s="6"/>
      <c r="N812" s="6"/>
      <c r="O812" s="6"/>
      <c r="P812" s="6"/>
      <c r="Q812" s="6"/>
    </row>
    <row r="813" ht="19.5" customHeight="1">
      <c r="A813" s="22"/>
      <c r="B813" s="6"/>
      <c r="C813" s="11"/>
      <c r="D813" s="11"/>
      <c r="E813" s="11"/>
      <c r="F813" s="6"/>
      <c r="G813" s="11"/>
      <c r="H813" s="11"/>
      <c r="I813" s="6"/>
      <c r="J813" s="6"/>
      <c r="K813" s="6"/>
      <c r="L813" s="6"/>
      <c r="M813" s="6"/>
      <c r="N813" s="6"/>
      <c r="O813" s="6"/>
      <c r="P813" s="6"/>
      <c r="Q813" s="6"/>
    </row>
    <row r="814" ht="19.5" customHeight="1">
      <c r="A814" s="22"/>
      <c r="B814" s="6"/>
      <c r="C814" s="11"/>
      <c r="D814" s="11"/>
      <c r="E814" s="11"/>
      <c r="F814" s="6"/>
      <c r="G814" s="11"/>
      <c r="H814" s="11"/>
      <c r="I814" s="6"/>
      <c r="J814" s="6"/>
      <c r="K814" s="6"/>
      <c r="L814" s="6"/>
      <c r="M814" s="6"/>
      <c r="N814" s="6"/>
      <c r="O814" s="6"/>
      <c r="P814" s="6"/>
      <c r="Q814" s="6"/>
    </row>
    <row r="815" ht="19.5" customHeight="1">
      <c r="A815" s="22"/>
      <c r="B815" s="6"/>
      <c r="C815" s="11"/>
      <c r="D815" s="11"/>
      <c r="E815" s="11"/>
      <c r="F815" s="6"/>
      <c r="G815" s="11"/>
      <c r="H815" s="11"/>
      <c r="I815" s="6"/>
      <c r="J815" s="6"/>
      <c r="K815" s="6"/>
      <c r="L815" s="6"/>
      <c r="M815" s="6"/>
      <c r="N815" s="6"/>
      <c r="O815" s="6"/>
      <c r="P815" s="6"/>
      <c r="Q815" s="6"/>
    </row>
    <row r="816" ht="19.5" customHeight="1">
      <c r="A816" s="22"/>
      <c r="B816" s="6"/>
      <c r="C816" s="11"/>
      <c r="D816" s="11"/>
      <c r="E816" s="11"/>
      <c r="F816" s="6"/>
      <c r="G816" s="11"/>
      <c r="H816" s="11"/>
      <c r="I816" s="6"/>
      <c r="J816" s="6"/>
      <c r="K816" s="6"/>
      <c r="L816" s="6"/>
      <c r="M816" s="6"/>
      <c r="N816" s="6"/>
      <c r="O816" s="6"/>
      <c r="P816" s="6"/>
      <c r="Q816" s="6"/>
    </row>
    <row r="817" ht="19.5" customHeight="1">
      <c r="A817" s="22"/>
      <c r="B817" s="6"/>
      <c r="C817" s="11"/>
      <c r="D817" s="11"/>
      <c r="E817" s="11"/>
      <c r="F817" s="6"/>
      <c r="G817" s="11"/>
      <c r="H817" s="11"/>
      <c r="I817" s="6"/>
      <c r="J817" s="6"/>
      <c r="K817" s="6"/>
      <c r="L817" s="6"/>
      <c r="M817" s="6"/>
      <c r="N817" s="6"/>
      <c r="O817" s="6"/>
      <c r="P817" s="6"/>
      <c r="Q817" s="6"/>
    </row>
    <row r="818" ht="19.5" customHeight="1">
      <c r="A818" s="22"/>
      <c r="B818" s="6"/>
      <c r="C818" s="11"/>
      <c r="D818" s="11"/>
      <c r="E818" s="11"/>
      <c r="F818" s="6"/>
      <c r="G818" s="11"/>
      <c r="H818" s="11"/>
      <c r="I818" s="6"/>
      <c r="J818" s="6"/>
      <c r="K818" s="6"/>
      <c r="L818" s="6"/>
      <c r="M818" s="6"/>
      <c r="N818" s="6"/>
      <c r="O818" s="6"/>
      <c r="P818" s="6"/>
      <c r="Q818" s="6"/>
    </row>
    <row r="819" ht="19.5" customHeight="1">
      <c r="A819" s="22"/>
      <c r="B819" s="6"/>
      <c r="C819" s="11"/>
      <c r="D819" s="11"/>
      <c r="E819" s="11"/>
      <c r="F819" s="6"/>
      <c r="G819" s="11"/>
      <c r="H819" s="11"/>
      <c r="I819" s="6"/>
      <c r="J819" s="6"/>
      <c r="K819" s="6"/>
      <c r="L819" s="6"/>
      <c r="M819" s="6"/>
      <c r="N819" s="6"/>
      <c r="O819" s="6"/>
      <c r="P819" s="6"/>
      <c r="Q819" s="6"/>
    </row>
    <row r="820" ht="19.5" customHeight="1">
      <c r="A820" s="22"/>
      <c r="B820" s="6"/>
      <c r="C820" s="11"/>
      <c r="D820" s="11"/>
      <c r="E820" s="11"/>
      <c r="F820" s="6"/>
      <c r="G820" s="11"/>
      <c r="H820" s="11"/>
      <c r="I820" s="6"/>
      <c r="J820" s="6"/>
      <c r="K820" s="6"/>
      <c r="L820" s="6"/>
      <c r="M820" s="6"/>
      <c r="N820" s="6"/>
      <c r="O820" s="6"/>
      <c r="P820" s="6"/>
      <c r="Q820" s="6"/>
    </row>
    <row r="821" ht="19.5" customHeight="1">
      <c r="A821" s="22"/>
      <c r="B821" s="6"/>
      <c r="C821" s="11"/>
      <c r="D821" s="11"/>
      <c r="E821" s="11"/>
      <c r="F821" s="6"/>
      <c r="G821" s="11"/>
      <c r="H821" s="11"/>
      <c r="I821" s="6"/>
      <c r="J821" s="6"/>
      <c r="K821" s="6"/>
      <c r="L821" s="6"/>
      <c r="M821" s="6"/>
      <c r="N821" s="6"/>
      <c r="O821" s="6"/>
      <c r="P821" s="6"/>
      <c r="Q821" s="6"/>
    </row>
    <row r="822" ht="19.5" customHeight="1">
      <c r="A822" s="22"/>
      <c r="B822" s="6"/>
      <c r="C822" s="11"/>
      <c r="D822" s="11"/>
      <c r="E822" s="11"/>
      <c r="F822" s="6"/>
      <c r="G822" s="11"/>
      <c r="H822" s="11"/>
      <c r="I822" s="6"/>
      <c r="J822" s="6"/>
      <c r="K822" s="6"/>
      <c r="L822" s="6"/>
      <c r="M822" s="6"/>
      <c r="N822" s="6"/>
      <c r="O822" s="6"/>
      <c r="P822" s="6"/>
      <c r="Q822" s="6"/>
    </row>
    <row r="823" ht="19.5" customHeight="1">
      <c r="A823" s="22"/>
      <c r="B823" s="6"/>
      <c r="C823" s="11"/>
      <c r="D823" s="11"/>
      <c r="E823" s="11"/>
      <c r="F823" s="6"/>
      <c r="G823" s="11"/>
      <c r="H823" s="11"/>
      <c r="I823" s="6"/>
      <c r="J823" s="6"/>
      <c r="K823" s="6"/>
      <c r="L823" s="6"/>
      <c r="M823" s="6"/>
      <c r="N823" s="6"/>
      <c r="O823" s="6"/>
      <c r="P823" s="6"/>
      <c r="Q823" s="6"/>
    </row>
    <row r="824" ht="19.5" customHeight="1">
      <c r="A824" s="22"/>
      <c r="B824" s="6"/>
      <c r="C824" s="11"/>
      <c r="D824" s="11"/>
      <c r="E824" s="11"/>
      <c r="F824" s="6"/>
      <c r="G824" s="11"/>
      <c r="H824" s="11"/>
      <c r="I824" s="6"/>
      <c r="J824" s="6"/>
      <c r="K824" s="6"/>
      <c r="L824" s="6"/>
      <c r="M824" s="6"/>
      <c r="N824" s="6"/>
      <c r="O824" s="6"/>
      <c r="P824" s="6"/>
      <c r="Q824" s="6"/>
    </row>
    <row r="825" ht="19.5" customHeight="1">
      <c r="A825" s="22"/>
      <c r="B825" s="6"/>
      <c r="C825" s="11"/>
      <c r="D825" s="11"/>
      <c r="E825" s="11"/>
      <c r="F825" s="6"/>
      <c r="G825" s="11"/>
      <c r="H825" s="11"/>
      <c r="I825" s="6"/>
      <c r="J825" s="6"/>
      <c r="K825" s="6"/>
      <c r="L825" s="6"/>
      <c r="M825" s="6"/>
      <c r="N825" s="6"/>
      <c r="O825" s="6"/>
      <c r="P825" s="6"/>
      <c r="Q825" s="6"/>
    </row>
    <row r="826" ht="19.5" customHeight="1">
      <c r="A826" s="22"/>
      <c r="B826" s="6"/>
      <c r="C826" s="11"/>
      <c r="D826" s="11"/>
      <c r="E826" s="11"/>
      <c r="F826" s="6"/>
      <c r="G826" s="11"/>
      <c r="H826" s="11"/>
      <c r="I826" s="6"/>
      <c r="J826" s="6"/>
      <c r="K826" s="6"/>
      <c r="L826" s="6"/>
      <c r="M826" s="6"/>
      <c r="N826" s="6"/>
      <c r="O826" s="6"/>
      <c r="P826" s="6"/>
      <c r="Q826" s="6"/>
    </row>
    <row r="827" ht="19.5" customHeight="1">
      <c r="A827" s="22"/>
      <c r="B827" s="6"/>
      <c r="C827" s="11"/>
      <c r="D827" s="11"/>
      <c r="E827" s="11"/>
      <c r="F827" s="6"/>
      <c r="G827" s="11"/>
      <c r="H827" s="11"/>
      <c r="I827" s="6"/>
      <c r="J827" s="6"/>
      <c r="K827" s="6"/>
      <c r="L827" s="6"/>
      <c r="M827" s="6"/>
      <c r="N827" s="6"/>
      <c r="O827" s="6"/>
      <c r="P827" s="6"/>
      <c r="Q827" s="6"/>
    </row>
    <row r="828" ht="19.5" customHeight="1">
      <c r="A828" s="22"/>
      <c r="B828" s="6"/>
      <c r="C828" s="11"/>
      <c r="D828" s="11"/>
      <c r="E828" s="11"/>
      <c r="F828" s="6"/>
      <c r="G828" s="11"/>
      <c r="H828" s="11"/>
      <c r="I828" s="6"/>
      <c r="J828" s="6"/>
      <c r="K828" s="6"/>
      <c r="L828" s="6"/>
      <c r="M828" s="6"/>
      <c r="N828" s="6"/>
      <c r="O828" s="6"/>
      <c r="P828" s="6"/>
      <c r="Q828" s="6"/>
    </row>
    <row r="829" ht="19.5" customHeight="1">
      <c r="A829" s="22"/>
      <c r="B829" s="6"/>
      <c r="C829" s="11"/>
      <c r="D829" s="11"/>
      <c r="E829" s="11"/>
      <c r="F829" s="6"/>
      <c r="G829" s="11"/>
      <c r="H829" s="11"/>
      <c r="I829" s="6"/>
      <c r="J829" s="6"/>
      <c r="K829" s="6"/>
      <c r="L829" s="6"/>
      <c r="M829" s="6"/>
      <c r="N829" s="6"/>
      <c r="O829" s="6"/>
      <c r="P829" s="6"/>
      <c r="Q829" s="6"/>
    </row>
    <row r="830" ht="19.5" customHeight="1">
      <c r="A830" s="22"/>
      <c r="B830" s="6"/>
      <c r="C830" s="11"/>
      <c r="D830" s="11"/>
      <c r="E830" s="11"/>
      <c r="F830" s="6"/>
      <c r="G830" s="11"/>
      <c r="H830" s="11"/>
      <c r="I830" s="6"/>
      <c r="J830" s="6"/>
      <c r="K830" s="6"/>
      <c r="L830" s="6"/>
      <c r="M830" s="6"/>
      <c r="N830" s="6"/>
      <c r="O830" s="6"/>
      <c r="P830" s="6"/>
      <c r="Q830" s="6"/>
    </row>
    <row r="831" ht="19.5" customHeight="1">
      <c r="A831" s="22"/>
      <c r="B831" s="6"/>
      <c r="C831" s="11"/>
      <c r="D831" s="11"/>
      <c r="E831" s="11"/>
      <c r="F831" s="6"/>
      <c r="G831" s="11"/>
      <c r="H831" s="11"/>
      <c r="I831" s="6"/>
      <c r="J831" s="6"/>
      <c r="K831" s="6"/>
      <c r="L831" s="6"/>
      <c r="M831" s="6"/>
      <c r="N831" s="6"/>
      <c r="O831" s="6"/>
      <c r="P831" s="6"/>
      <c r="Q831" s="6"/>
    </row>
    <row r="832" ht="19.5" customHeight="1">
      <c r="A832" s="22"/>
      <c r="B832" s="6"/>
      <c r="C832" s="11"/>
      <c r="D832" s="11"/>
      <c r="E832" s="11"/>
      <c r="F832" s="6"/>
      <c r="G832" s="11"/>
      <c r="H832" s="11"/>
      <c r="I832" s="6"/>
      <c r="J832" s="6"/>
      <c r="K832" s="6"/>
      <c r="L832" s="6"/>
      <c r="M832" s="6"/>
      <c r="N832" s="6"/>
      <c r="O832" s="6"/>
      <c r="P832" s="6"/>
      <c r="Q832" s="6"/>
    </row>
    <row r="833" ht="19.5" customHeight="1">
      <c r="A833" s="22"/>
      <c r="B833" s="6"/>
      <c r="C833" s="11"/>
      <c r="D833" s="11"/>
      <c r="E833" s="11"/>
      <c r="F833" s="6"/>
      <c r="G833" s="11"/>
      <c r="H833" s="11"/>
      <c r="I833" s="6"/>
      <c r="J833" s="6"/>
      <c r="K833" s="6"/>
      <c r="L833" s="6"/>
      <c r="M833" s="6"/>
      <c r="N833" s="6"/>
      <c r="O833" s="6"/>
      <c r="P833" s="6"/>
      <c r="Q833" s="6"/>
    </row>
    <row r="834" ht="19.5" customHeight="1">
      <c r="A834" s="22"/>
      <c r="B834" s="6"/>
      <c r="C834" s="11"/>
      <c r="D834" s="11"/>
      <c r="E834" s="11"/>
      <c r="F834" s="6"/>
      <c r="G834" s="11"/>
      <c r="H834" s="11"/>
      <c r="I834" s="6"/>
      <c r="J834" s="6"/>
      <c r="K834" s="6"/>
      <c r="L834" s="6"/>
      <c r="M834" s="6"/>
      <c r="N834" s="6"/>
      <c r="O834" s="6"/>
      <c r="P834" s="6"/>
      <c r="Q834" s="6"/>
    </row>
    <row r="835" ht="19.5" customHeight="1">
      <c r="A835" s="22"/>
      <c r="B835" s="6"/>
      <c r="C835" s="11"/>
      <c r="D835" s="11"/>
      <c r="E835" s="11"/>
      <c r="F835" s="6"/>
      <c r="G835" s="11"/>
      <c r="H835" s="11"/>
      <c r="I835" s="6"/>
      <c r="J835" s="6"/>
      <c r="K835" s="6"/>
      <c r="L835" s="6"/>
      <c r="M835" s="6"/>
      <c r="N835" s="6"/>
      <c r="O835" s="6"/>
      <c r="P835" s="6"/>
      <c r="Q835" s="6"/>
    </row>
    <row r="836" ht="19.5" customHeight="1">
      <c r="A836" s="22"/>
      <c r="B836" s="6"/>
      <c r="C836" s="11"/>
      <c r="D836" s="11"/>
      <c r="E836" s="11"/>
      <c r="F836" s="6"/>
      <c r="G836" s="11"/>
      <c r="H836" s="11"/>
      <c r="I836" s="6"/>
      <c r="J836" s="6"/>
      <c r="K836" s="6"/>
      <c r="L836" s="6"/>
      <c r="M836" s="6"/>
      <c r="N836" s="6"/>
      <c r="O836" s="6"/>
      <c r="P836" s="6"/>
      <c r="Q836" s="6"/>
    </row>
    <row r="837" ht="19.5" customHeight="1">
      <c r="A837" s="22"/>
      <c r="B837" s="6"/>
      <c r="C837" s="11"/>
      <c r="D837" s="11"/>
      <c r="E837" s="11"/>
      <c r="F837" s="6"/>
      <c r="G837" s="11"/>
      <c r="H837" s="11"/>
      <c r="I837" s="6"/>
      <c r="J837" s="6"/>
      <c r="K837" s="6"/>
      <c r="L837" s="6"/>
      <c r="M837" s="6"/>
      <c r="N837" s="6"/>
      <c r="O837" s="6"/>
      <c r="P837" s="6"/>
      <c r="Q837" s="6"/>
    </row>
    <row r="838" ht="19.5" customHeight="1">
      <c r="A838" s="22"/>
      <c r="B838" s="6"/>
      <c r="C838" s="11"/>
      <c r="D838" s="11"/>
      <c r="E838" s="11"/>
      <c r="F838" s="6"/>
      <c r="G838" s="11"/>
      <c r="H838" s="11"/>
      <c r="I838" s="6"/>
      <c r="J838" s="6"/>
      <c r="K838" s="6"/>
      <c r="L838" s="6"/>
      <c r="M838" s="6"/>
      <c r="N838" s="6"/>
      <c r="O838" s="6"/>
      <c r="P838" s="6"/>
      <c r="Q838" s="6"/>
    </row>
    <row r="839" ht="19.5" customHeight="1">
      <c r="A839" s="22"/>
      <c r="B839" s="6"/>
      <c r="C839" s="11"/>
      <c r="D839" s="11"/>
      <c r="E839" s="11"/>
      <c r="F839" s="6"/>
      <c r="G839" s="11"/>
      <c r="H839" s="11"/>
      <c r="I839" s="6"/>
      <c r="J839" s="6"/>
      <c r="K839" s="6"/>
      <c r="L839" s="6"/>
      <c r="M839" s="6"/>
      <c r="N839" s="6"/>
      <c r="O839" s="6"/>
      <c r="P839" s="6"/>
      <c r="Q839" s="6"/>
    </row>
    <row r="840" ht="19.5" customHeight="1">
      <c r="A840" s="22"/>
      <c r="B840" s="6"/>
      <c r="C840" s="11"/>
      <c r="D840" s="11"/>
      <c r="E840" s="11"/>
      <c r="F840" s="6"/>
      <c r="G840" s="11"/>
      <c r="H840" s="11"/>
      <c r="I840" s="6"/>
      <c r="J840" s="6"/>
      <c r="K840" s="6"/>
      <c r="L840" s="6"/>
      <c r="M840" s="6"/>
      <c r="N840" s="6"/>
      <c r="O840" s="6"/>
      <c r="P840" s="6"/>
      <c r="Q840" s="6"/>
    </row>
    <row r="841" ht="19.5" customHeight="1">
      <c r="A841" s="22"/>
      <c r="B841" s="6"/>
      <c r="C841" s="11"/>
      <c r="D841" s="11"/>
      <c r="E841" s="11"/>
      <c r="F841" s="6"/>
      <c r="G841" s="11"/>
      <c r="H841" s="11"/>
      <c r="I841" s="6"/>
      <c r="J841" s="6"/>
      <c r="K841" s="6"/>
      <c r="L841" s="6"/>
      <c r="M841" s="6"/>
      <c r="N841" s="6"/>
      <c r="O841" s="6"/>
      <c r="P841" s="6"/>
      <c r="Q841" s="6"/>
    </row>
    <row r="842" ht="19.5" customHeight="1">
      <c r="A842" s="22"/>
      <c r="B842" s="6"/>
      <c r="C842" s="11"/>
      <c r="D842" s="11"/>
      <c r="E842" s="11"/>
      <c r="F842" s="6"/>
      <c r="G842" s="11"/>
      <c r="H842" s="11"/>
      <c r="I842" s="6"/>
      <c r="J842" s="6"/>
      <c r="K842" s="6"/>
      <c r="L842" s="6"/>
      <c r="M842" s="6"/>
      <c r="N842" s="6"/>
      <c r="O842" s="6"/>
      <c r="P842" s="6"/>
      <c r="Q842" s="6"/>
    </row>
    <row r="843" ht="19.5" customHeight="1">
      <c r="A843" s="22"/>
      <c r="B843" s="6"/>
      <c r="C843" s="11"/>
      <c r="D843" s="11"/>
      <c r="E843" s="11"/>
      <c r="F843" s="6"/>
      <c r="G843" s="11"/>
      <c r="H843" s="11"/>
      <c r="I843" s="6"/>
      <c r="J843" s="6"/>
      <c r="K843" s="6"/>
      <c r="L843" s="6"/>
      <c r="M843" s="6"/>
      <c r="N843" s="6"/>
      <c r="O843" s="6"/>
      <c r="P843" s="6"/>
      <c r="Q843" s="6"/>
    </row>
    <row r="844" ht="19.5" customHeight="1">
      <c r="A844" s="22"/>
      <c r="B844" s="6"/>
      <c r="C844" s="11"/>
      <c r="D844" s="11"/>
      <c r="E844" s="11"/>
      <c r="F844" s="6"/>
      <c r="G844" s="11"/>
      <c r="H844" s="11"/>
      <c r="I844" s="6"/>
      <c r="J844" s="6"/>
      <c r="K844" s="6"/>
      <c r="L844" s="6"/>
      <c r="M844" s="6"/>
      <c r="N844" s="6"/>
      <c r="O844" s="6"/>
      <c r="P844" s="6"/>
      <c r="Q844" s="6"/>
    </row>
    <row r="845" ht="19.5" customHeight="1">
      <c r="A845" s="22"/>
      <c r="B845" s="6"/>
      <c r="C845" s="11"/>
      <c r="D845" s="11"/>
      <c r="E845" s="11"/>
      <c r="F845" s="6"/>
      <c r="G845" s="11"/>
      <c r="H845" s="11"/>
      <c r="I845" s="6"/>
      <c r="J845" s="6"/>
      <c r="K845" s="6"/>
      <c r="L845" s="6"/>
      <c r="M845" s="6"/>
      <c r="N845" s="6"/>
      <c r="O845" s="6"/>
      <c r="P845" s="6"/>
      <c r="Q845" s="6"/>
    </row>
    <row r="846" ht="19.5" customHeight="1">
      <c r="A846" s="22"/>
      <c r="B846" s="6"/>
      <c r="C846" s="11"/>
      <c r="D846" s="11"/>
      <c r="E846" s="11"/>
      <c r="F846" s="6"/>
      <c r="G846" s="11"/>
      <c r="H846" s="11"/>
      <c r="I846" s="6"/>
      <c r="J846" s="6"/>
      <c r="K846" s="6"/>
      <c r="L846" s="6"/>
      <c r="M846" s="6"/>
      <c r="N846" s="6"/>
      <c r="O846" s="6"/>
      <c r="P846" s="6"/>
      <c r="Q846" s="6"/>
    </row>
    <row r="847" ht="19.5" customHeight="1">
      <c r="A847" s="22"/>
      <c r="B847" s="6"/>
      <c r="C847" s="11"/>
      <c r="D847" s="11"/>
      <c r="E847" s="11"/>
      <c r="F847" s="6"/>
      <c r="G847" s="11"/>
      <c r="H847" s="11"/>
      <c r="I847" s="6"/>
      <c r="J847" s="6"/>
      <c r="K847" s="6"/>
      <c r="L847" s="6"/>
      <c r="M847" s="6"/>
      <c r="N847" s="6"/>
      <c r="O847" s="6"/>
      <c r="P847" s="6"/>
      <c r="Q847" s="6"/>
    </row>
    <row r="848" ht="19.5" customHeight="1">
      <c r="A848" s="22"/>
      <c r="B848" s="6"/>
      <c r="C848" s="11"/>
      <c r="D848" s="11"/>
      <c r="E848" s="11"/>
      <c r="F848" s="6"/>
      <c r="G848" s="11"/>
      <c r="H848" s="11"/>
      <c r="I848" s="6"/>
      <c r="J848" s="6"/>
      <c r="K848" s="6"/>
      <c r="L848" s="6"/>
      <c r="M848" s="6"/>
      <c r="N848" s="6"/>
      <c r="O848" s="6"/>
      <c r="P848" s="6"/>
      <c r="Q848" s="6"/>
    </row>
    <row r="849" ht="19.5" customHeight="1">
      <c r="A849" s="22"/>
      <c r="B849" s="6"/>
      <c r="C849" s="11"/>
      <c r="D849" s="11"/>
      <c r="E849" s="11"/>
      <c r="F849" s="6"/>
      <c r="G849" s="11"/>
      <c r="H849" s="11"/>
      <c r="I849" s="6"/>
      <c r="J849" s="6"/>
      <c r="K849" s="6"/>
      <c r="L849" s="6"/>
      <c r="M849" s="6"/>
      <c r="N849" s="6"/>
      <c r="O849" s="6"/>
      <c r="P849" s="6"/>
      <c r="Q849" s="6"/>
    </row>
    <row r="850" ht="19.5" customHeight="1">
      <c r="A850" s="22"/>
      <c r="B850" s="6"/>
      <c r="C850" s="11"/>
      <c r="D850" s="11"/>
      <c r="E850" s="11"/>
      <c r="F850" s="6"/>
      <c r="G850" s="11"/>
      <c r="H850" s="11"/>
      <c r="I850" s="6"/>
      <c r="J850" s="6"/>
      <c r="K850" s="6"/>
      <c r="L850" s="6"/>
      <c r="M850" s="6"/>
      <c r="N850" s="6"/>
      <c r="O850" s="6"/>
      <c r="P850" s="6"/>
      <c r="Q850" s="6"/>
    </row>
    <row r="851" ht="19.5" customHeight="1">
      <c r="A851" s="22"/>
      <c r="B851" s="6"/>
      <c r="C851" s="11"/>
      <c r="D851" s="11"/>
      <c r="E851" s="11"/>
      <c r="F851" s="6"/>
      <c r="G851" s="11"/>
      <c r="H851" s="11"/>
      <c r="I851" s="6"/>
      <c r="J851" s="6"/>
      <c r="K851" s="6"/>
      <c r="L851" s="6"/>
      <c r="M851" s="6"/>
      <c r="N851" s="6"/>
      <c r="O851" s="6"/>
      <c r="P851" s="6"/>
      <c r="Q851" s="6"/>
    </row>
    <row r="852" ht="19.5" customHeight="1">
      <c r="A852" s="22"/>
      <c r="B852" s="6"/>
      <c r="C852" s="11"/>
      <c r="D852" s="11"/>
      <c r="E852" s="11"/>
      <c r="F852" s="6"/>
      <c r="G852" s="11"/>
      <c r="H852" s="11"/>
      <c r="I852" s="6"/>
      <c r="J852" s="6"/>
      <c r="K852" s="6"/>
      <c r="L852" s="6"/>
      <c r="M852" s="6"/>
      <c r="N852" s="6"/>
      <c r="O852" s="6"/>
      <c r="P852" s="6"/>
      <c r="Q852" s="6"/>
    </row>
    <row r="853" ht="19.5" customHeight="1">
      <c r="A853" s="22"/>
      <c r="B853" s="6"/>
      <c r="C853" s="11"/>
      <c r="D853" s="11"/>
      <c r="E853" s="11"/>
      <c r="F853" s="6"/>
      <c r="G853" s="11"/>
      <c r="H853" s="11"/>
      <c r="I853" s="6"/>
      <c r="J853" s="6"/>
      <c r="K853" s="6"/>
      <c r="L853" s="6"/>
      <c r="M853" s="6"/>
      <c r="N853" s="6"/>
      <c r="O853" s="6"/>
      <c r="P853" s="6"/>
      <c r="Q853" s="6"/>
    </row>
    <row r="854" ht="19.5" customHeight="1">
      <c r="A854" s="22"/>
      <c r="B854" s="6"/>
      <c r="C854" s="11"/>
      <c r="D854" s="11"/>
      <c r="E854" s="11"/>
      <c r="F854" s="6"/>
      <c r="G854" s="11"/>
      <c r="H854" s="11"/>
      <c r="I854" s="6"/>
      <c r="J854" s="6"/>
      <c r="K854" s="6"/>
      <c r="L854" s="6"/>
      <c r="M854" s="6"/>
      <c r="N854" s="6"/>
      <c r="O854" s="6"/>
      <c r="P854" s="6"/>
      <c r="Q854" s="6"/>
    </row>
    <row r="855" ht="19.5" customHeight="1">
      <c r="A855" s="22"/>
      <c r="B855" s="6"/>
      <c r="C855" s="11"/>
      <c r="D855" s="11"/>
      <c r="E855" s="11"/>
      <c r="F855" s="6"/>
      <c r="G855" s="11"/>
      <c r="H855" s="11"/>
      <c r="I855" s="6"/>
      <c r="J855" s="6"/>
      <c r="K855" s="6"/>
      <c r="L855" s="6"/>
      <c r="M855" s="6"/>
      <c r="N855" s="6"/>
      <c r="O855" s="6"/>
      <c r="P855" s="6"/>
      <c r="Q855" s="6"/>
    </row>
    <row r="856" ht="19.5" customHeight="1">
      <c r="A856" s="22"/>
      <c r="B856" s="6"/>
      <c r="C856" s="11"/>
      <c r="D856" s="11"/>
      <c r="E856" s="11"/>
      <c r="F856" s="6"/>
      <c r="G856" s="11"/>
      <c r="H856" s="11"/>
      <c r="I856" s="6"/>
      <c r="J856" s="6"/>
      <c r="K856" s="6"/>
      <c r="L856" s="6"/>
      <c r="M856" s="6"/>
      <c r="N856" s="6"/>
      <c r="O856" s="6"/>
      <c r="P856" s="6"/>
      <c r="Q856" s="6"/>
    </row>
    <row r="857" ht="19.5" customHeight="1">
      <c r="A857" s="22"/>
      <c r="B857" s="6"/>
      <c r="C857" s="11"/>
      <c r="D857" s="11"/>
      <c r="E857" s="11"/>
      <c r="F857" s="6"/>
      <c r="G857" s="11"/>
      <c r="H857" s="11"/>
      <c r="I857" s="6"/>
      <c r="J857" s="6"/>
      <c r="K857" s="6"/>
      <c r="L857" s="6"/>
      <c r="M857" s="6"/>
      <c r="N857" s="6"/>
      <c r="O857" s="6"/>
      <c r="P857" s="6"/>
      <c r="Q857" s="6"/>
    </row>
    <row r="858" ht="19.5" customHeight="1">
      <c r="A858" s="22"/>
      <c r="B858" s="6"/>
      <c r="C858" s="11"/>
      <c r="D858" s="11"/>
      <c r="E858" s="11"/>
      <c r="F858" s="6"/>
      <c r="G858" s="11"/>
      <c r="H858" s="11"/>
      <c r="I858" s="6"/>
      <c r="J858" s="6"/>
      <c r="K858" s="6"/>
      <c r="L858" s="6"/>
      <c r="M858" s="6"/>
      <c r="N858" s="6"/>
      <c r="O858" s="6"/>
      <c r="P858" s="6"/>
      <c r="Q858" s="6"/>
    </row>
    <row r="859" ht="19.5" customHeight="1">
      <c r="A859" s="22"/>
      <c r="B859" s="6"/>
      <c r="C859" s="11"/>
      <c r="D859" s="11"/>
      <c r="E859" s="11"/>
      <c r="F859" s="6"/>
      <c r="G859" s="11"/>
      <c r="H859" s="11"/>
      <c r="I859" s="6"/>
      <c r="J859" s="6"/>
      <c r="K859" s="6"/>
      <c r="L859" s="6"/>
      <c r="M859" s="6"/>
      <c r="N859" s="6"/>
      <c r="O859" s="6"/>
      <c r="P859" s="6"/>
      <c r="Q859" s="6"/>
    </row>
    <row r="860" ht="19.5" customHeight="1">
      <c r="A860" s="22"/>
      <c r="B860" s="6"/>
      <c r="C860" s="11"/>
      <c r="D860" s="11"/>
      <c r="E860" s="11"/>
      <c r="F860" s="6"/>
      <c r="G860" s="11"/>
      <c r="H860" s="11"/>
      <c r="I860" s="6"/>
      <c r="J860" s="6"/>
      <c r="K860" s="6"/>
      <c r="L860" s="6"/>
      <c r="M860" s="6"/>
      <c r="N860" s="6"/>
      <c r="O860" s="6"/>
      <c r="P860" s="6"/>
      <c r="Q860" s="6"/>
    </row>
    <row r="861" ht="19.5" customHeight="1">
      <c r="A861" s="22"/>
      <c r="B861" s="6"/>
      <c r="C861" s="11"/>
      <c r="D861" s="11"/>
      <c r="E861" s="11"/>
      <c r="F861" s="6"/>
      <c r="G861" s="11"/>
      <c r="H861" s="11"/>
      <c r="I861" s="6"/>
      <c r="J861" s="6"/>
      <c r="K861" s="6"/>
      <c r="L861" s="6"/>
      <c r="M861" s="6"/>
      <c r="N861" s="6"/>
      <c r="O861" s="6"/>
      <c r="P861" s="6"/>
      <c r="Q861" s="6"/>
    </row>
    <row r="862" ht="19.5" customHeight="1">
      <c r="A862" s="22"/>
      <c r="B862" s="6"/>
      <c r="C862" s="11"/>
      <c r="D862" s="11"/>
      <c r="E862" s="11"/>
      <c r="F862" s="6"/>
      <c r="G862" s="11"/>
      <c r="H862" s="11"/>
      <c r="I862" s="6"/>
      <c r="J862" s="6"/>
      <c r="K862" s="6"/>
      <c r="L862" s="6"/>
      <c r="M862" s="6"/>
      <c r="N862" s="6"/>
      <c r="O862" s="6"/>
      <c r="P862" s="6"/>
      <c r="Q862" s="6"/>
    </row>
    <row r="863" ht="19.5" customHeight="1">
      <c r="A863" s="22"/>
      <c r="B863" s="6"/>
      <c r="C863" s="11"/>
      <c r="D863" s="11"/>
      <c r="E863" s="11"/>
      <c r="F863" s="6"/>
      <c r="G863" s="11"/>
      <c r="H863" s="11"/>
      <c r="I863" s="6"/>
      <c r="J863" s="6"/>
      <c r="K863" s="6"/>
      <c r="L863" s="6"/>
      <c r="M863" s="6"/>
      <c r="N863" s="6"/>
      <c r="O863" s="6"/>
      <c r="P863" s="6"/>
      <c r="Q863" s="6"/>
    </row>
    <row r="864" ht="19.5" customHeight="1">
      <c r="A864" s="22"/>
      <c r="B864" s="6"/>
      <c r="C864" s="11"/>
      <c r="D864" s="11"/>
      <c r="E864" s="11"/>
      <c r="F864" s="6"/>
      <c r="G864" s="11"/>
      <c r="H864" s="11"/>
      <c r="I864" s="6"/>
      <c r="J864" s="6"/>
      <c r="K864" s="6"/>
      <c r="L864" s="6"/>
      <c r="M864" s="6"/>
      <c r="N864" s="6"/>
      <c r="O864" s="6"/>
      <c r="P864" s="6"/>
      <c r="Q864" s="6"/>
    </row>
    <row r="865" ht="19.5" customHeight="1">
      <c r="A865" s="22"/>
      <c r="B865" s="6"/>
      <c r="C865" s="11"/>
      <c r="D865" s="11"/>
      <c r="E865" s="11"/>
      <c r="F865" s="6"/>
      <c r="G865" s="11"/>
      <c r="H865" s="11"/>
      <c r="I865" s="6"/>
      <c r="J865" s="6"/>
      <c r="K865" s="6"/>
      <c r="L865" s="6"/>
      <c r="M865" s="6"/>
      <c r="N865" s="6"/>
      <c r="O865" s="6"/>
      <c r="P865" s="6"/>
      <c r="Q865" s="6"/>
    </row>
    <row r="866" ht="19.5" customHeight="1">
      <c r="A866" s="22"/>
      <c r="B866" s="6"/>
      <c r="C866" s="11"/>
      <c r="D866" s="11"/>
      <c r="E866" s="11"/>
      <c r="F866" s="6"/>
      <c r="G866" s="11"/>
      <c r="H866" s="11"/>
      <c r="I866" s="6"/>
      <c r="J866" s="6"/>
      <c r="K866" s="6"/>
      <c r="L866" s="6"/>
      <c r="M866" s="6"/>
      <c r="N866" s="6"/>
      <c r="O866" s="6"/>
      <c r="P866" s="6"/>
      <c r="Q866" s="6"/>
    </row>
    <row r="867" ht="19.5" customHeight="1">
      <c r="A867" s="22"/>
      <c r="B867" s="6"/>
      <c r="C867" s="11"/>
      <c r="D867" s="11"/>
      <c r="E867" s="11"/>
      <c r="F867" s="6"/>
      <c r="G867" s="11"/>
      <c r="H867" s="11"/>
      <c r="I867" s="6"/>
      <c r="J867" s="6"/>
      <c r="K867" s="6"/>
      <c r="L867" s="6"/>
      <c r="M867" s="6"/>
      <c r="N867" s="6"/>
      <c r="O867" s="6"/>
      <c r="P867" s="6"/>
      <c r="Q867" s="6"/>
    </row>
    <row r="868" ht="19.5" customHeight="1">
      <c r="A868" s="22"/>
      <c r="B868" s="6"/>
      <c r="C868" s="11"/>
      <c r="D868" s="11"/>
      <c r="E868" s="11"/>
      <c r="F868" s="6"/>
      <c r="G868" s="11"/>
      <c r="H868" s="11"/>
      <c r="I868" s="6"/>
      <c r="J868" s="6"/>
      <c r="K868" s="6"/>
      <c r="L868" s="6"/>
      <c r="M868" s="6"/>
      <c r="N868" s="6"/>
      <c r="O868" s="6"/>
      <c r="P868" s="6"/>
      <c r="Q868" s="6"/>
    </row>
    <row r="869" ht="19.5" customHeight="1">
      <c r="A869" s="22"/>
      <c r="B869" s="6"/>
      <c r="C869" s="11"/>
      <c r="D869" s="11"/>
      <c r="E869" s="11"/>
      <c r="F869" s="6"/>
      <c r="G869" s="11"/>
      <c r="H869" s="11"/>
      <c r="I869" s="6"/>
      <c r="J869" s="6"/>
      <c r="K869" s="6"/>
      <c r="L869" s="6"/>
      <c r="M869" s="6"/>
      <c r="N869" s="6"/>
      <c r="O869" s="6"/>
      <c r="P869" s="6"/>
      <c r="Q869" s="6"/>
    </row>
    <row r="870" ht="19.5" customHeight="1">
      <c r="A870" s="22"/>
      <c r="B870" s="6"/>
      <c r="C870" s="11"/>
      <c r="D870" s="11"/>
      <c r="E870" s="11"/>
      <c r="F870" s="6"/>
      <c r="G870" s="11"/>
      <c r="H870" s="11"/>
      <c r="I870" s="6"/>
      <c r="J870" s="6"/>
      <c r="K870" s="6"/>
      <c r="L870" s="6"/>
      <c r="M870" s="6"/>
      <c r="N870" s="6"/>
      <c r="O870" s="6"/>
      <c r="P870" s="6"/>
      <c r="Q870" s="6"/>
    </row>
    <row r="871" ht="19.5" customHeight="1">
      <c r="A871" s="22"/>
      <c r="B871" s="6"/>
      <c r="C871" s="11"/>
      <c r="D871" s="11"/>
      <c r="E871" s="11"/>
      <c r="F871" s="6"/>
      <c r="G871" s="11"/>
      <c r="H871" s="11"/>
      <c r="I871" s="6"/>
      <c r="J871" s="6"/>
      <c r="K871" s="6"/>
      <c r="L871" s="6"/>
      <c r="M871" s="6"/>
      <c r="N871" s="6"/>
      <c r="O871" s="6"/>
      <c r="P871" s="6"/>
      <c r="Q871" s="6"/>
    </row>
    <row r="872" ht="19.5" customHeight="1">
      <c r="A872" s="22"/>
      <c r="B872" s="6"/>
      <c r="C872" s="11"/>
      <c r="D872" s="11"/>
      <c r="E872" s="11"/>
      <c r="F872" s="6"/>
      <c r="G872" s="11"/>
      <c r="H872" s="11"/>
      <c r="I872" s="6"/>
      <c r="J872" s="6"/>
      <c r="K872" s="6"/>
      <c r="L872" s="6"/>
      <c r="M872" s="6"/>
      <c r="N872" s="6"/>
      <c r="O872" s="6"/>
      <c r="P872" s="6"/>
      <c r="Q872" s="6"/>
    </row>
    <row r="873" ht="19.5" customHeight="1">
      <c r="A873" s="22"/>
      <c r="B873" s="6"/>
      <c r="C873" s="11"/>
      <c r="D873" s="11"/>
      <c r="E873" s="11"/>
      <c r="F873" s="6"/>
      <c r="G873" s="11"/>
      <c r="H873" s="11"/>
      <c r="I873" s="6"/>
      <c r="J873" s="6"/>
      <c r="K873" s="6"/>
      <c r="L873" s="6"/>
      <c r="M873" s="6"/>
      <c r="N873" s="6"/>
      <c r="O873" s="6"/>
      <c r="P873" s="6"/>
      <c r="Q873" s="6"/>
    </row>
    <row r="874" ht="19.5" customHeight="1">
      <c r="A874" s="22"/>
      <c r="B874" s="6"/>
      <c r="C874" s="11"/>
      <c r="D874" s="11"/>
      <c r="E874" s="11"/>
      <c r="F874" s="6"/>
      <c r="G874" s="11"/>
      <c r="H874" s="11"/>
      <c r="I874" s="6"/>
      <c r="J874" s="6"/>
      <c r="K874" s="6"/>
      <c r="L874" s="6"/>
      <c r="M874" s="6"/>
      <c r="N874" s="6"/>
      <c r="O874" s="6"/>
      <c r="P874" s="6"/>
      <c r="Q874" s="6"/>
    </row>
    <row r="875" ht="19.5" customHeight="1">
      <c r="A875" s="22"/>
      <c r="B875" s="6"/>
      <c r="C875" s="11"/>
      <c r="D875" s="11"/>
      <c r="E875" s="11"/>
      <c r="F875" s="6"/>
      <c r="G875" s="11"/>
      <c r="H875" s="11"/>
      <c r="I875" s="6"/>
      <c r="J875" s="6"/>
      <c r="K875" s="6"/>
      <c r="L875" s="6"/>
      <c r="M875" s="6"/>
      <c r="N875" s="6"/>
      <c r="O875" s="6"/>
      <c r="P875" s="6"/>
      <c r="Q875" s="6"/>
    </row>
    <row r="876" ht="19.5" customHeight="1">
      <c r="A876" s="22"/>
      <c r="B876" s="6"/>
      <c r="C876" s="11"/>
      <c r="D876" s="11"/>
      <c r="E876" s="11"/>
      <c r="F876" s="6"/>
      <c r="G876" s="11"/>
      <c r="H876" s="11"/>
      <c r="I876" s="6"/>
      <c r="J876" s="6"/>
      <c r="K876" s="6"/>
      <c r="L876" s="6"/>
      <c r="M876" s="6"/>
      <c r="N876" s="6"/>
      <c r="O876" s="6"/>
      <c r="P876" s="6"/>
      <c r="Q876" s="6"/>
    </row>
    <row r="877" ht="19.5" customHeight="1">
      <c r="A877" s="22"/>
      <c r="B877" s="6"/>
      <c r="C877" s="11"/>
      <c r="D877" s="11"/>
      <c r="E877" s="11"/>
      <c r="F877" s="6"/>
      <c r="G877" s="11"/>
      <c r="H877" s="11"/>
      <c r="I877" s="6"/>
      <c r="J877" s="6"/>
      <c r="K877" s="6"/>
      <c r="L877" s="6"/>
      <c r="M877" s="6"/>
      <c r="N877" s="6"/>
      <c r="O877" s="6"/>
      <c r="P877" s="6"/>
      <c r="Q877" s="6"/>
    </row>
    <row r="878" ht="19.5" customHeight="1">
      <c r="A878" s="22"/>
      <c r="B878" s="6"/>
      <c r="C878" s="11"/>
      <c r="D878" s="11"/>
      <c r="E878" s="11"/>
      <c r="F878" s="6"/>
      <c r="G878" s="11"/>
      <c r="H878" s="11"/>
      <c r="I878" s="6"/>
      <c r="J878" s="6"/>
      <c r="K878" s="6"/>
      <c r="L878" s="6"/>
      <c r="M878" s="6"/>
      <c r="N878" s="6"/>
      <c r="O878" s="6"/>
      <c r="P878" s="6"/>
      <c r="Q878" s="6"/>
    </row>
    <row r="879" ht="19.5" customHeight="1">
      <c r="A879" s="22"/>
      <c r="B879" s="6"/>
      <c r="C879" s="11"/>
      <c r="D879" s="11"/>
      <c r="E879" s="11"/>
      <c r="F879" s="6"/>
      <c r="G879" s="11"/>
      <c r="H879" s="11"/>
      <c r="I879" s="6"/>
      <c r="J879" s="6"/>
      <c r="K879" s="6"/>
      <c r="L879" s="6"/>
      <c r="M879" s="6"/>
      <c r="N879" s="6"/>
      <c r="O879" s="6"/>
      <c r="P879" s="6"/>
      <c r="Q879" s="6"/>
    </row>
    <row r="880" ht="19.5" customHeight="1">
      <c r="A880" s="22"/>
      <c r="B880" s="6"/>
      <c r="C880" s="11"/>
      <c r="D880" s="11"/>
      <c r="E880" s="11"/>
      <c r="F880" s="6"/>
      <c r="G880" s="11"/>
      <c r="H880" s="11"/>
      <c r="I880" s="6"/>
      <c r="J880" s="6"/>
      <c r="K880" s="6"/>
      <c r="L880" s="6"/>
      <c r="M880" s="6"/>
      <c r="N880" s="6"/>
      <c r="O880" s="6"/>
      <c r="P880" s="6"/>
      <c r="Q880" s="6"/>
    </row>
    <row r="881" ht="19.5" customHeight="1">
      <c r="A881" s="22"/>
      <c r="B881" s="6"/>
      <c r="C881" s="11"/>
      <c r="D881" s="11"/>
      <c r="E881" s="11"/>
      <c r="F881" s="6"/>
      <c r="G881" s="11"/>
      <c r="H881" s="11"/>
      <c r="I881" s="6"/>
      <c r="J881" s="6"/>
      <c r="K881" s="6"/>
      <c r="L881" s="6"/>
      <c r="M881" s="6"/>
      <c r="N881" s="6"/>
      <c r="O881" s="6"/>
      <c r="P881" s="6"/>
      <c r="Q881" s="6"/>
    </row>
    <row r="882" ht="19.5" customHeight="1">
      <c r="A882" s="22"/>
      <c r="B882" s="6"/>
      <c r="C882" s="11"/>
      <c r="D882" s="11"/>
      <c r="E882" s="11"/>
      <c r="F882" s="6"/>
      <c r="G882" s="11"/>
      <c r="H882" s="11"/>
      <c r="I882" s="6"/>
      <c r="J882" s="6"/>
      <c r="K882" s="6"/>
      <c r="L882" s="6"/>
      <c r="M882" s="6"/>
      <c r="N882" s="6"/>
      <c r="O882" s="6"/>
      <c r="P882" s="6"/>
      <c r="Q882" s="6"/>
    </row>
    <row r="883" ht="19.5" customHeight="1">
      <c r="A883" s="22"/>
      <c r="B883" s="6"/>
      <c r="C883" s="11"/>
      <c r="D883" s="11"/>
      <c r="E883" s="11"/>
      <c r="F883" s="6"/>
      <c r="G883" s="11"/>
      <c r="H883" s="11"/>
      <c r="I883" s="6"/>
      <c r="J883" s="6"/>
      <c r="K883" s="6"/>
      <c r="L883" s="6"/>
      <c r="M883" s="6"/>
      <c r="N883" s="6"/>
      <c r="O883" s="6"/>
      <c r="P883" s="6"/>
      <c r="Q883" s="6"/>
    </row>
    <row r="884" ht="19.5" customHeight="1">
      <c r="A884" s="22"/>
      <c r="B884" s="6"/>
      <c r="C884" s="11"/>
      <c r="D884" s="11"/>
      <c r="E884" s="11"/>
      <c r="F884" s="6"/>
      <c r="G884" s="11"/>
      <c r="H884" s="11"/>
      <c r="I884" s="6"/>
      <c r="J884" s="6"/>
      <c r="K884" s="6"/>
      <c r="L884" s="6"/>
      <c r="M884" s="6"/>
      <c r="N884" s="6"/>
      <c r="O884" s="6"/>
      <c r="P884" s="6"/>
      <c r="Q884" s="6"/>
    </row>
    <row r="885" ht="19.5" customHeight="1">
      <c r="A885" s="22"/>
      <c r="B885" s="6"/>
      <c r="C885" s="11"/>
      <c r="D885" s="11"/>
      <c r="E885" s="11"/>
      <c r="F885" s="6"/>
      <c r="G885" s="11"/>
      <c r="H885" s="11"/>
      <c r="I885" s="6"/>
      <c r="J885" s="6"/>
      <c r="K885" s="6"/>
      <c r="L885" s="6"/>
      <c r="M885" s="6"/>
      <c r="N885" s="6"/>
      <c r="O885" s="6"/>
      <c r="P885" s="6"/>
      <c r="Q885" s="6"/>
    </row>
    <row r="886" ht="19.5" customHeight="1">
      <c r="A886" s="22"/>
      <c r="B886" s="6"/>
      <c r="C886" s="11"/>
      <c r="D886" s="11"/>
      <c r="E886" s="11"/>
      <c r="F886" s="6"/>
      <c r="G886" s="11"/>
      <c r="H886" s="11"/>
      <c r="I886" s="6"/>
      <c r="J886" s="6"/>
      <c r="K886" s="6"/>
      <c r="L886" s="6"/>
      <c r="M886" s="6"/>
      <c r="N886" s="6"/>
      <c r="O886" s="6"/>
      <c r="P886" s="6"/>
      <c r="Q886" s="6"/>
    </row>
    <row r="887" ht="19.5" customHeight="1">
      <c r="A887" s="22"/>
      <c r="B887" s="6"/>
      <c r="C887" s="11"/>
      <c r="D887" s="11"/>
      <c r="E887" s="11"/>
      <c r="F887" s="6"/>
      <c r="G887" s="11"/>
      <c r="H887" s="11"/>
      <c r="I887" s="6"/>
      <c r="J887" s="6"/>
      <c r="K887" s="6"/>
      <c r="L887" s="6"/>
      <c r="M887" s="6"/>
      <c r="N887" s="6"/>
      <c r="O887" s="6"/>
      <c r="P887" s="6"/>
      <c r="Q887" s="6"/>
    </row>
    <row r="888" ht="19.5" customHeight="1">
      <c r="A888" s="22"/>
      <c r="B888" s="6"/>
      <c r="C888" s="11"/>
      <c r="D888" s="11"/>
      <c r="E888" s="11"/>
      <c r="F888" s="6"/>
      <c r="G888" s="11"/>
      <c r="H888" s="11"/>
      <c r="I888" s="6"/>
      <c r="J888" s="6"/>
      <c r="K888" s="6"/>
      <c r="L888" s="6"/>
      <c r="M888" s="6"/>
      <c r="N888" s="6"/>
      <c r="O888" s="6"/>
      <c r="P888" s="6"/>
      <c r="Q888" s="6"/>
    </row>
    <row r="889" ht="19.5" customHeight="1">
      <c r="A889" s="22"/>
      <c r="B889" s="6"/>
      <c r="C889" s="11"/>
      <c r="D889" s="11"/>
      <c r="E889" s="11"/>
      <c r="F889" s="6"/>
      <c r="G889" s="11"/>
      <c r="H889" s="11"/>
      <c r="I889" s="6"/>
      <c r="J889" s="6"/>
      <c r="K889" s="6"/>
      <c r="L889" s="6"/>
      <c r="M889" s="6"/>
      <c r="N889" s="6"/>
      <c r="O889" s="6"/>
      <c r="P889" s="6"/>
      <c r="Q889" s="6"/>
    </row>
    <row r="890" ht="19.5" customHeight="1">
      <c r="A890" s="22"/>
      <c r="B890" s="6"/>
      <c r="C890" s="11"/>
      <c r="D890" s="11"/>
      <c r="E890" s="11"/>
      <c r="F890" s="6"/>
      <c r="G890" s="11"/>
      <c r="H890" s="11"/>
      <c r="I890" s="6"/>
      <c r="J890" s="6"/>
      <c r="K890" s="6"/>
      <c r="L890" s="6"/>
      <c r="M890" s="6"/>
      <c r="N890" s="6"/>
      <c r="O890" s="6"/>
      <c r="P890" s="6"/>
      <c r="Q890" s="6"/>
    </row>
    <row r="891" ht="19.5" customHeight="1">
      <c r="A891" s="22"/>
      <c r="B891" s="6"/>
      <c r="C891" s="11"/>
      <c r="D891" s="11"/>
      <c r="E891" s="11"/>
      <c r="F891" s="6"/>
      <c r="G891" s="11"/>
      <c r="H891" s="11"/>
      <c r="I891" s="6"/>
      <c r="J891" s="6"/>
      <c r="K891" s="6"/>
      <c r="L891" s="6"/>
      <c r="M891" s="6"/>
      <c r="N891" s="6"/>
      <c r="O891" s="6"/>
      <c r="P891" s="6"/>
      <c r="Q891" s="6"/>
    </row>
    <row r="892" ht="19.5" customHeight="1">
      <c r="A892" s="22"/>
      <c r="B892" s="6"/>
      <c r="C892" s="11"/>
      <c r="D892" s="11"/>
      <c r="E892" s="11"/>
      <c r="F892" s="6"/>
      <c r="G892" s="11"/>
      <c r="H892" s="11"/>
      <c r="I892" s="6"/>
      <c r="J892" s="6"/>
      <c r="K892" s="6"/>
      <c r="L892" s="6"/>
      <c r="M892" s="6"/>
      <c r="N892" s="6"/>
      <c r="O892" s="6"/>
      <c r="P892" s="6"/>
      <c r="Q892" s="6"/>
    </row>
    <row r="893" ht="19.5" customHeight="1">
      <c r="A893" s="22"/>
      <c r="B893" s="6"/>
      <c r="C893" s="11"/>
      <c r="D893" s="11"/>
      <c r="E893" s="11"/>
      <c r="F893" s="6"/>
      <c r="G893" s="11"/>
      <c r="H893" s="11"/>
      <c r="I893" s="6"/>
      <c r="J893" s="6"/>
      <c r="K893" s="6"/>
      <c r="L893" s="6"/>
      <c r="M893" s="6"/>
      <c r="N893" s="6"/>
      <c r="O893" s="6"/>
      <c r="P893" s="6"/>
      <c r="Q893" s="6"/>
    </row>
    <row r="894" ht="19.5" customHeight="1">
      <c r="A894" s="22"/>
      <c r="B894" s="6"/>
      <c r="C894" s="11"/>
      <c r="D894" s="11"/>
      <c r="E894" s="11"/>
      <c r="F894" s="6"/>
      <c r="G894" s="11"/>
      <c r="H894" s="11"/>
      <c r="I894" s="6"/>
      <c r="J894" s="6"/>
      <c r="K894" s="6"/>
      <c r="L894" s="6"/>
      <c r="M894" s="6"/>
      <c r="N894" s="6"/>
      <c r="O894" s="6"/>
      <c r="P894" s="6"/>
      <c r="Q894" s="6"/>
    </row>
    <row r="895" ht="19.5" customHeight="1">
      <c r="A895" s="22"/>
      <c r="B895" s="6"/>
      <c r="C895" s="11"/>
      <c r="D895" s="11"/>
      <c r="E895" s="11"/>
      <c r="F895" s="6"/>
      <c r="G895" s="11"/>
      <c r="H895" s="11"/>
      <c r="I895" s="6"/>
      <c r="J895" s="6"/>
      <c r="K895" s="6"/>
      <c r="L895" s="6"/>
      <c r="M895" s="6"/>
      <c r="N895" s="6"/>
      <c r="O895" s="6"/>
      <c r="P895" s="6"/>
      <c r="Q895" s="6"/>
    </row>
    <row r="896" ht="19.5" customHeight="1">
      <c r="A896" s="22"/>
      <c r="B896" s="6"/>
      <c r="C896" s="11"/>
      <c r="D896" s="11"/>
      <c r="E896" s="11"/>
      <c r="F896" s="6"/>
      <c r="G896" s="11"/>
      <c r="H896" s="11"/>
      <c r="I896" s="6"/>
      <c r="J896" s="6"/>
      <c r="K896" s="6"/>
      <c r="L896" s="6"/>
      <c r="M896" s="6"/>
      <c r="N896" s="6"/>
      <c r="O896" s="6"/>
      <c r="P896" s="6"/>
      <c r="Q896" s="6"/>
    </row>
    <row r="897" ht="19.5" customHeight="1">
      <c r="A897" s="22"/>
      <c r="B897" s="6"/>
      <c r="C897" s="11"/>
      <c r="D897" s="11"/>
      <c r="E897" s="11"/>
      <c r="F897" s="6"/>
      <c r="G897" s="11"/>
      <c r="H897" s="11"/>
      <c r="I897" s="6"/>
      <c r="J897" s="6"/>
      <c r="K897" s="6"/>
      <c r="L897" s="6"/>
      <c r="M897" s="6"/>
      <c r="N897" s="6"/>
      <c r="O897" s="6"/>
      <c r="P897" s="6"/>
      <c r="Q897" s="6"/>
    </row>
    <row r="898" ht="19.5" customHeight="1">
      <c r="A898" s="22"/>
      <c r="B898" s="6"/>
      <c r="C898" s="11"/>
      <c r="D898" s="11"/>
      <c r="E898" s="11"/>
      <c r="F898" s="6"/>
      <c r="G898" s="11"/>
      <c r="H898" s="11"/>
      <c r="I898" s="6"/>
      <c r="J898" s="6"/>
      <c r="K898" s="6"/>
      <c r="L898" s="6"/>
      <c r="M898" s="6"/>
      <c r="N898" s="6"/>
      <c r="O898" s="6"/>
      <c r="P898" s="6"/>
      <c r="Q898" s="6"/>
    </row>
    <row r="899" ht="19.5" customHeight="1">
      <c r="A899" s="22"/>
      <c r="B899" s="6"/>
      <c r="C899" s="11"/>
      <c r="D899" s="11"/>
      <c r="E899" s="11"/>
      <c r="F899" s="6"/>
      <c r="G899" s="11"/>
      <c r="H899" s="11"/>
      <c r="I899" s="6"/>
      <c r="J899" s="6"/>
      <c r="K899" s="6"/>
      <c r="L899" s="6"/>
      <c r="M899" s="6"/>
      <c r="N899" s="6"/>
      <c r="O899" s="6"/>
      <c r="P899" s="6"/>
      <c r="Q899" s="6"/>
    </row>
    <row r="900" ht="19.5" customHeight="1">
      <c r="A900" s="22"/>
      <c r="B900" s="6"/>
      <c r="C900" s="11"/>
      <c r="D900" s="11"/>
      <c r="E900" s="11"/>
      <c r="F900" s="6"/>
      <c r="G900" s="11"/>
      <c r="H900" s="11"/>
      <c r="I900" s="6"/>
      <c r="J900" s="6"/>
      <c r="K900" s="6"/>
      <c r="L900" s="6"/>
      <c r="M900" s="6"/>
      <c r="N900" s="6"/>
      <c r="O900" s="6"/>
      <c r="P900" s="6"/>
      <c r="Q900" s="6"/>
    </row>
    <row r="901" ht="19.5" customHeight="1">
      <c r="A901" s="22"/>
      <c r="B901" s="6"/>
      <c r="C901" s="11"/>
      <c r="D901" s="11"/>
      <c r="E901" s="11"/>
      <c r="F901" s="6"/>
      <c r="G901" s="11"/>
      <c r="H901" s="11"/>
      <c r="I901" s="6"/>
      <c r="J901" s="6"/>
      <c r="K901" s="6"/>
      <c r="L901" s="6"/>
      <c r="M901" s="6"/>
      <c r="N901" s="6"/>
      <c r="O901" s="6"/>
      <c r="P901" s="6"/>
      <c r="Q901" s="6"/>
    </row>
    <row r="902" ht="19.5" customHeight="1">
      <c r="A902" s="22"/>
      <c r="B902" s="6"/>
      <c r="C902" s="11"/>
      <c r="D902" s="11"/>
      <c r="E902" s="11"/>
      <c r="F902" s="6"/>
      <c r="G902" s="11"/>
      <c r="H902" s="11"/>
      <c r="I902" s="6"/>
      <c r="J902" s="6"/>
      <c r="K902" s="6"/>
      <c r="L902" s="6"/>
      <c r="M902" s="6"/>
      <c r="N902" s="6"/>
      <c r="O902" s="6"/>
      <c r="P902" s="6"/>
      <c r="Q902" s="6"/>
    </row>
    <row r="903" ht="19.5" customHeight="1">
      <c r="A903" s="22"/>
      <c r="B903" s="6"/>
      <c r="C903" s="11"/>
      <c r="D903" s="11"/>
      <c r="E903" s="11"/>
      <c r="F903" s="6"/>
      <c r="G903" s="11"/>
      <c r="H903" s="11"/>
      <c r="I903" s="6"/>
      <c r="J903" s="6"/>
      <c r="K903" s="6"/>
      <c r="L903" s="6"/>
      <c r="M903" s="6"/>
      <c r="N903" s="6"/>
      <c r="O903" s="6"/>
      <c r="P903" s="6"/>
      <c r="Q903" s="6"/>
    </row>
    <row r="904" ht="19.5" customHeight="1">
      <c r="A904" s="22"/>
      <c r="B904" s="6"/>
      <c r="C904" s="11"/>
      <c r="D904" s="11"/>
      <c r="E904" s="11"/>
      <c r="F904" s="6"/>
      <c r="G904" s="11"/>
      <c r="H904" s="11"/>
      <c r="I904" s="6"/>
      <c r="J904" s="6"/>
      <c r="K904" s="6"/>
      <c r="L904" s="6"/>
      <c r="M904" s="6"/>
      <c r="N904" s="6"/>
      <c r="O904" s="6"/>
      <c r="P904" s="6"/>
      <c r="Q904" s="6"/>
    </row>
    <row r="905" ht="19.5" customHeight="1">
      <c r="A905" s="22"/>
      <c r="B905" s="6"/>
      <c r="C905" s="11"/>
      <c r="D905" s="11"/>
      <c r="E905" s="11"/>
      <c r="F905" s="6"/>
      <c r="G905" s="11"/>
      <c r="H905" s="11"/>
      <c r="I905" s="6"/>
      <c r="J905" s="6"/>
      <c r="K905" s="6"/>
      <c r="L905" s="6"/>
      <c r="M905" s="6"/>
      <c r="N905" s="6"/>
      <c r="O905" s="6"/>
      <c r="P905" s="6"/>
      <c r="Q905" s="6"/>
    </row>
    <row r="906" ht="19.5" customHeight="1">
      <c r="A906" s="22"/>
      <c r="B906" s="6"/>
      <c r="C906" s="11"/>
      <c r="D906" s="11"/>
      <c r="E906" s="11"/>
      <c r="F906" s="6"/>
      <c r="G906" s="11"/>
      <c r="H906" s="11"/>
      <c r="I906" s="6"/>
      <c r="J906" s="6"/>
      <c r="K906" s="6"/>
      <c r="L906" s="6"/>
      <c r="M906" s="6"/>
      <c r="N906" s="6"/>
      <c r="O906" s="6"/>
      <c r="P906" s="6"/>
      <c r="Q906" s="6"/>
    </row>
    <row r="907" ht="19.5" customHeight="1">
      <c r="A907" s="22"/>
      <c r="B907" s="6"/>
      <c r="C907" s="11"/>
      <c r="D907" s="11"/>
      <c r="E907" s="11"/>
      <c r="F907" s="6"/>
      <c r="G907" s="11"/>
      <c r="H907" s="11"/>
      <c r="I907" s="6"/>
      <c r="J907" s="6"/>
      <c r="K907" s="6"/>
      <c r="L907" s="6"/>
      <c r="M907" s="6"/>
      <c r="N907" s="6"/>
      <c r="O907" s="6"/>
      <c r="P907" s="6"/>
      <c r="Q907" s="6"/>
    </row>
    <row r="908" ht="19.5" customHeight="1">
      <c r="A908" s="22"/>
      <c r="B908" s="6"/>
      <c r="C908" s="11"/>
      <c r="D908" s="11"/>
      <c r="E908" s="11"/>
      <c r="F908" s="6"/>
      <c r="G908" s="11"/>
      <c r="H908" s="11"/>
      <c r="I908" s="6"/>
      <c r="J908" s="6"/>
      <c r="K908" s="6"/>
      <c r="L908" s="6"/>
      <c r="M908" s="6"/>
      <c r="N908" s="6"/>
      <c r="O908" s="6"/>
      <c r="P908" s="6"/>
      <c r="Q908" s="6"/>
    </row>
    <row r="909" ht="19.5" customHeight="1">
      <c r="A909" s="22"/>
      <c r="B909" s="6"/>
      <c r="C909" s="11"/>
      <c r="D909" s="11"/>
      <c r="E909" s="11"/>
      <c r="F909" s="6"/>
      <c r="G909" s="11"/>
      <c r="H909" s="11"/>
      <c r="I909" s="6"/>
      <c r="J909" s="6"/>
      <c r="K909" s="6"/>
      <c r="L909" s="6"/>
      <c r="M909" s="6"/>
      <c r="N909" s="6"/>
      <c r="O909" s="6"/>
      <c r="P909" s="6"/>
      <c r="Q909" s="6"/>
    </row>
    <row r="910" ht="19.5" customHeight="1">
      <c r="A910" s="22"/>
      <c r="B910" s="6"/>
      <c r="C910" s="11"/>
      <c r="D910" s="11"/>
      <c r="E910" s="11"/>
      <c r="F910" s="6"/>
      <c r="G910" s="11"/>
      <c r="H910" s="11"/>
      <c r="I910" s="6"/>
      <c r="J910" s="6"/>
      <c r="K910" s="6"/>
      <c r="L910" s="6"/>
      <c r="M910" s="6"/>
      <c r="N910" s="6"/>
      <c r="O910" s="6"/>
      <c r="P910" s="6"/>
      <c r="Q910" s="6"/>
    </row>
    <row r="911" ht="19.5" customHeight="1">
      <c r="A911" s="22"/>
      <c r="B911" s="6"/>
      <c r="C911" s="11"/>
      <c r="D911" s="11"/>
      <c r="E911" s="11"/>
      <c r="F911" s="6"/>
      <c r="G911" s="11"/>
      <c r="H911" s="11"/>
      <c r="I911" s="6"/>
      <c r="J911" s="6"/>
      <c r="K911" s="6"/>
      <c r="L911" s="6"/>
      <c r="M911" s="6"/>
      <c r="N911" s="6"/>
      <c r="O911" s="6"/>
      <c r="P911" s="6"/>
      <c r="Q911" s="6"/>
    </row>
    <row r="912" ht="19.5" customHeight="1">
      <c r="A912" s="22"/>
      <c r="B912" s="6"/>
      <c r="C912" s="11"/>
      <c r="D912" s="11"/>
      <c r="E912" s="11"/>
      <c r="F912" s="6"/>
      <c r="G912" s="11"/>
      <c r="H912" s="11"/>
      <c r="I912" s="6"/>
      <c r="J912" s="6"/>
      <c r="K912" s="6"/>
      <c r="L912" s="6"/>
      <c r="M912" s="6"/>
      <c r="N912" s="6"/>
      <c r="O912" s="6"/>
      <c r="P912" s="6"/>
      <c r="Q912" s="6"/>
    </row>
    <row r="913" ht="19.5" customHeight="1">
      <c r="A913" s="22"/>
      <c r="B913" s="6"/>
      <c r="C913" s="11"/>
      <c r="D913" s="11"/>
      <c r="E913" s="11"/>
      <c r="F913" s="6"/>
      <c r="G913" s="11"/>
      <c r="H913" s="11"/>
      <c r="I913" s="6"/>
      <c r="J913" s="6"/>
      <c r="K913" s="6"/>
      <c r="L913" s="6"/>
      <c r="M913" s="6"/>
      <c r="N913" s="6"/>
      <c r="O913" s="6"/>
      <c r="P913" s="6"/>
      <c r="Q913" s="6"/>
    </row>
    <row r="914" ht="19.5" customHeight="1">
      <c r="A914" s="22"/>
      <c r="B914" s="6"/>
      <c r="C914" s="11"/>
      <c r="D914" s="11"/>
      <c r="E914" s="11"/>
      <c r="F914" s="6"/>
      <c r="G914" s="11"/>
      <c r="H914" s="11"/>
      <c r="I914" s="6"/>
      <c r="J914" s="6"/>
      <c r="K914" s="6"/>
      <c r="L914" s="6"/>
      <c r="M914" s="6"/>
      <c r="N914" s="6"/>
      <c r="O914" s="6"/>
      <c r="P914" s="6"/>
      <c r="Q914" s="6"/>
    </row>
    <row r="915" ht="19.5" customHeight="1">
      <c r="A915" s="22"/>
      <c r="B915" s="6"/>
      <c r="C915" s="11"/>
      <c r="D915" s="11"/>
      <c r="E915" s="11"/>
      <c r="F915" s="6"/>
      <c r="G915" s="11"/>
      <c r="H915" s="11"/>
      <c r="I915" s="6"/>
      <c r="J915" s="6"/>
      <c r="K915" s="6"/>
      <c r="L915" s="6"/>
      <c r="M915" s="6"/>
      <c r="N915" s="6"/>
      <c r="O915" s="6"/>
      <c r="P915" s="6"/>
      <c r="Q915" s="6"/>
    </row>
    <row r="916" ht="19.5" customHeight="1">
      <c r="A916" s="22"/>
      <c r="B916" s="6"/>
      <c r="C916" s="11"/>
      <c r="D916" s="11"/>
      <c r="E916" s="11"/>
      <c r="F916" s="6"/>
      <c r="G916" s="11"/>
      <c r="H916" s="11"/>
      <c r="I916" s="6"/>
      <c r="J916" s="6"/>
      <c r="K916" s="6"/>
      <c r="L916" s="6"/>
      <c r="M916" s="6"/>
      <c r="N916" s="6"/>
      <c r="O916" s="6"/>
      <c r="P916" s="6"/>
      <c r="Q916" s="6"/>
    </row>
    <row r="917" ht="19.5" customHeight="1">
      <c r="A917" s="22"/>
      <c r="B917" s="6"/>
      <c r="C917" s="11"/>
      <c r="D917" s="11"/>
      <c r="E917" s="11"/>
      <c r="F917" s="6"/>
      <c r="G917" s="11"/>
      <c r="H917" s="11"/>
      <c r="I917" s="6"/>
      <c r="J917" s="6"/>
      <c r="K917" s="6"/>
      <c r="L917" s="6"/>
      <c r="M917" s="6"/>
      <c r="N917" s="6"/>
      <c r="O917" s="6"/>
      <c r="P917" s="6"/>
      <c r="Q917" s="6"/>
    </row>
    <row r="918" ht="19.5" customHeight="1">
      <c r="A918" s="22"/>
      <c r="B918" s="6"/>
      <c r="C918" s="11"/>
      <c r="D918" s="11"/>
      <c r="E918" s="11"/>
      <c r="F918" s="6"/>
      <c r="G918" s="11"/>
      <c r="H918" s="11"/>
      <c r="I918" s="6"/>
      <c r="J918" s="6"/>
      <c r="K918" s="6"/>
      <c r="L918" s="6"/>
      <c r="M918" s="6"/>
      <c r="N918" s="6"/>
      <c r="O918" s="6"/>
      <c r="P918" s="6"/>
      <c r="Q918" s="6"/>
    </row>
    <row r="919" ht="19.5" customHeight="1">
      <c r="A919" s="22"/>
      <c r="B919" s="6"/>
      <c r="C919" s="11"/>
      <c r="D919" s="11"/>
      <c r="E919" s="11"/>
      <c r="F919" s="6"/>
      <c r="G919" s="11"/>
      <c r="H919" s="11"/>
      <c r="I919" s="6"/>
      <c r="J919" s="6"/>
      <c r="K919" s="6"/>
      <c r="L919" s="6"/>
      <c r="M919" s="6"/>
      <c r="N919" s="6"/>
      <c r="O919" s="6"/>
      <c r="P919" s="6"/>
      <c r="Q919" s="6"/>
    </row>
    <row r="920" ht="19.5" customHeight="1">
      <c r="A920" s="22"/>
      <c r="B920" s="6"/>
      <c r="C920" s="11"/>
      <c r="D920" s="11"/>
      <c r="E920" s="11"/>
      <c r="F920" s="6"/>
      <c r="G920" s="11"/>
      <c r="H920" s="11"/>
      <c r="I920" s="6"/>
      <c r="J920" s="6"/>
      <c r="K920" s="6"/>
      <c r="L920" s="6"/>
      <c r="M920" s="6"/>
      <c r="N920" s="6"/>
      <c r="O920" s="6"/>
      <c r="P920" s="6"/>
      <c r="Q920" s="6"/>
    </row>
    <row r="921" ht="19.5" customHeight="1">
      <c r="A921" s="22"/>
      <c r="B921" s="6"/>
      <c r="C921" s="11"/>
      <c r="D921" s="11"/>
      <c r="E921" s="11"/>
      <c r="F921" s="6"/>
      <c r="G921" s="11"/>
      <c r="H921" s="11"/>
      <c r="I921" s="6"/>
      <c r="J921" s="6"/>
      <c r="K921" s="6"/>
      <c r="L921" s="6"/>
      <c r="M921" s="6"/>
      <c r="N921" s="6"/>
      <c r="O921" s="6"/>
      <c r="P921" s="6"/>
      <c r="Q921" s="6"/>
    </row>
    <row r="922" ht="19.5" customHeight="1">
      <c r="A922" s="22"/>
      <c r="B922" s="6"/>
      <c r="C922" s="11"/>
      <c r="D922" s="11"/>
      <c r="E922" s="11"/>
      <c r="F922" s="6"/>
      <c r="G922" s="11"/>
      <c r="H922" s="11"/>
      <c r="I922" s="6"/>
      <c r="J922" s="6"/>
      <c r="K922" s="6"/>
      <c r="L922" s="6"/>
      <c r="M922" s="6"/>
      <c r="N922" s="6"/>
      <c r="O922" s="6"/>
      <c r="P922" s="6"/>
      <c r="Q922" s="6"/>
    </row>
    <row r="923" ht="19.5" customHeight="1">
      <c r="A923" s="22"/>
      <c r="B923" s="6"/>
      <c r="C923" s="11"/>
      <c r="D923" s="11"/>
      <c r="E923" s="11"/>
      <c r="F923" s="6"/>
      <c r="G923" s="11"/>
      <c r="H923" s="11"/>
      <c r="I923" s="6"/>
      <c r="J923" s="6"/>
      <c r="K923" s="6"/>
      <c r="L923" s="6"/>
      <c r="M923" s="6"/>
      <c r="N923" s="6"/>
      <c r="O923" s="6"/>
      <c r="P923" s="6"/>
      <c r="Q923" s="6"/>
    </row>
    <row r="924" ht="19.5" customHeight="1">
      <c r="A924" s="22"/>
      <c r="B924" s="6"/>
      <c r="C924" s="11"/>
      <c r="D924" s="11"/>
      <c r="E924" s="11"/>
      <c r="F924" s="6"/>
      <c r="G924" s="11"/>
      <c r="H924" s="11"/>
      <c r="I924" s="6"/>
      <c r="J924" s="6"/>
      <c r="K924" s="6"/>
      <c r="L924" s="6"/>
      <c r="M924" s="6"/>
      <c r="N924" s="6"/>
      <c r="O924" s="6"/>
      <c r="P924" s="6"/>
      <c r="Q924" s="6"/>
    </row>
    <row r="925" ht="19.5" customHeight="1">
      <c r="A925" s="22"/>
      <c r="B925" s="6"/>
      <c r="C925" s="11"/>
      <c r="D925" s="11"/>
      <c r="E925" s="11"/>
      <c r="F925" s="6"/>
      <c r="G925" s="11"/>
      <c r="H925" s="11"/>
      <c r="I925" s="6"/>
      <c r="J925" s="6"/>
      <c r="K925" s="6"/>
      <c r="L925" s="6"/>
      <c r="M925" s="6"/>
      <c r="N925" s="6"/>
      <c r="O925" s="6"/>
      <c r="P925" s="6"/>
      <c r="Q925" s="6"/>
    </row>
    <row r="926" ht="19.5" customHeight="1">
      <c r="A926" s="22"/>
      <c r="B926" s="6"/>
      <c r="C926" s="11"/>
      <c r="D926" s="11"/>
      <c r="E926" s="11"/>
      <c r="F926" s="6"/>
      <c r="G926" s="11"/>
      <c r="H926" s="11"/>
      <c r="I926" s="6"/>
      <c r="J926" s="6"/>
      <c r="K926" s="6"/>
      <c r="L926" s="6"/>
      <c r="M926" s="6"/>
      <c r="N926" s="6"/>
      <c r="O926" s="6"/>
      <c r="P926" s="6"/>
      <c r="Q926" s="6"/>
    </row>
    <row r="927" ht="19.5" customHeight="1">
      <c r="A927" s="22"/>
      <c r="B927" s="6"/>
      <c r="C927" s="11"/>
      <c r="D927" s="11"/>
      <c r="E927" s="11"/>
      <c r="F927" s="6"/>
      <c r="G927" s="11"/>
      <c r="H927" s="11"/>
      <c r="I927" s="6"/>
      <c r="J927" s="6"/>
      <c r="K927" s="6"/>
      <c r="L927" s="6"/>
      <c r="M927" s="6"/>
      <c r="N927" s="6"/>
      <c r="O927" s="6"/>
      <c r="P927" s="6"/>
      <c r="Q927" s="6"/>
    </row>
    <row r="928" ht="19.5" customHeight="1">
      <c r="A928" s="22"/>
      <c r="B928" s="6"/>
      <c r="C928" s="11"/>
      <c r="D928" s="11"/>
      <c r="E928" s="11"/>
      <c r="F928" s="6"/>
      <c r="G928" s="11"/>
      <c r="H928" s="11"/>
      <c r="I928" s="6"/>
      <c r="J928" s="6"/>
      <c r="K928" s="6"/>
      <c r="L928" s="6"/>
      <c r="M928" s="6"/>
      <c r="N928" s="6"/>
      <c r="O928" s="6"/>
      <c r="P928" s="6"/>
      <c r="Q928" s="6"/>
    </row>
    <row r="929" ht="19.5" customHeight="1">
      <c r="A929" s="22"/>
      <c r="B929" s="6"/>
      <c r="C929" s="11"/>
      <c r="D929" s="11"/>
      <c r="E929" s="11"/>
      <c r="F929" s="6"/>
      <c r="G929" s="11"/>
      <c r="H929" s="11"/>
      <c r="I929" s="6"/>
      <c r="J929" s="6"/>
      <c r="K929" s="6"/>
      <c r="L929" s="6"/>
      <c r="M929" s="6"/>
      <c r="N929" s="6"/>
      <c r="O929" s="6"/>
      <c r="P929" s="6"/>
      <c r="Q929" s="6"/>
    </row>
    <row r="930" ht="19.5" customHeight="1">
      <c r="A930" s="22"/>
      <c r="B930" s="6"/>
      <c r="C930" s="11"/>
      <c r="D930" s="11"/>
      <c r="E930" s="11"/>
      <c r="F930" s="6"/>
      <c r="G930" s="11"/>
      <c r="H930" s="11"/>
      <c r="I930" s="6"/>
      <c r="J930" s="6"/>
      <c r="K930" s="6"/>
      <c r="L930" s="6"/>
      <c r="M930" s="6"/>
      <c r="N930" s="6"/>
      <c r="O930" s="6"/>
      <c r="P930" s="6"/>
      <c r="Q930" s="6"/>
    </row>
    <row r="931" ht="19.5" customHeight="1">
      <c r="A931" s="22"/>
      <c r="B931" s="6"/>
      <c r="C931" s="11"/>
      <c r="D931" s="11"/>
      <c r="E931" s="11"/>
      <c r="F931" s="6"/>
      <c r="G931" s="11"/>
      <c r="H931" s="11"/>
      <c r="I931" s="6"/>
      <c r="J931" s="6"/>
      <c r="K931" s="6"/>
      <c r="L931" s="6"/>
      <c r="M931" s="6"/>
      <c r="N931" s="6"/>
      <c r="O931" s="6"/>
      <c r="P931" s="6"/>
      <c r="Q931" s="6"/>
    </row>
    <row r="932" ht="19.5" customHeight="1">
      <c r="A932" s="22"/>
      <c r="B932" s="6"/>
      <c r="C932" s="11"/>
      <c r="D932" s="11"/>
      <c r="E932" s="11"/>
      <c r="F932" s="6"/>
      <c r="G932" s="11"/>
      <c r="H932" s="11"/>
      <c r="I932" s="6"/>
      <c r="J932" s="6"/>
      <c r="K932" s="6"/>
      <c r="L932" s="6"/>
      <c r="M932" s="6"/>
      <c r="N932" s="6"/>
      <c r="O932" s="6"/>
      <c r="P932" s="6"/>
      <c r="Q932" s="6"/>
    </row>
    <row r="933" ht="19.5" customHeight="1">
      <c r="A933" s="22"/>
      <c r="B933" s="6"/>
      <c r="C933" s="11"/>
      <c r="D933" s="11"/>
      <c r="E933" s="11"/>
      <c r="F933" s="6"/>
      <c r="G933" s="11"/>
      <c r="H933" s="11"/>
      <c r="I933" s="6"/>
      <c r="J933" s="6"/>
      <c r="K933" s="6"/>
      <c r="L933" s="6"/>
      <c r="M933" s="6"/>
      <c r="N933" s="6"/>
      <c r="O933" s="6"/>
      <c r="P933" s="6"/>
      <c r="Q933" s="6"/>
    </row>
    <row r="934" ht="19.5" customHeight="1">
      <c r="A934" s="22"/>
      <c r="B934" s="6"/>
      <c r="C934" s="11"/>
      <c r="D934" s="11"/>
      <c r="E934" s="11"/>
      <c r="F934" s="6"/>
      <c r="G934" s="11"/>
      <c r="H934" s="11"/>
      <c r="I934" s="6"/>
      <c r="J934" s="6"/>
      <c r="K934" s="6"/>
      <c r="L934" s="6"/>
      <c r="M934" s="6"/>
      <c r="N934" s="6"/>
      <c r="O934" s="6"/>
      <c r="P934" s="6"/>
      <c r="Q934" s="6"/>
    </row>
    <row r="935" ht="19.5" customHeight="1">
      <c r="A935" s="22"/>
      <c r="B935" s="6"/>
      <c r="C935" s="11"/>
      <c r="D935" s="11"/>
      <c r="E935" s="11"/>
      <c r="F935" s="6"/>
      <c r="G935" s="11"/>
      <c r="H935" s="11"/>
      <c r="I935" s="6"/>
      <c r="J935" s="6"/>
      <c r="K935" s="6"/>
      <c r="L935" s="6"/>
      <c r="M935" s="6"/>
      <c r="N935" s="6"/>
      <c r="O935" s="6"/>
      <c r="P935" s="6"/>
      <c r="Q935" s="6"/>
    </row>
    <row r="936" ht="19.5" customHeight="1">
      <c r="A936" s="22"/>
      <c r="B936" s="6"/>
      <c r="C936" s="11"/>
      <c r="D936" s="11"/>
      <c r="E936" s="11"/>
      <c r="F936" s="6"/>
      <c r="G936" s="11"/>
      <c r="H936" s="11"/>
      <c r="I936" s="6"/>
      <c r="J936" s="6"/>
      <c r="K936" s="6"/>
      <c r="L936" s="6"/>
      <c r="M936" s="6"/>
      <c r="N936" s="6"/>
      <c r="O936" s="6"/>
      <c r="P936" s="6"/>
      <c r="Q936" s="6"/>
    </row>
    <row r="937" ht="19.5" customHeight="1">
      <c r="A937" s="22"/>
      <c r="B937" s="6"/>
      <c r="C937" s="11"/>
      <c r="D937" s="11"/>
      <c r="E937" s="11"/>
      <c r="F937" s="6"/>
      <c r="G937" s="11"/>
      <c r="H937" s="11"/>
      <c r="I937" s="6"/>
      <c r="J937" s="6"/>
      <c r="K937" s="6"/>
      <c r="L937" s="6"/>
      <c r="M937" s="6"/>
      <c r="N937" s="6"/>
      <c r="O937" s="6"/>
      <c r="P937" s="6"/>
      <c r="Q937" s="6"/>
    </row>
    <row r="938" ht="19.5" customHeight="1">
      <c r="A938" s="22"/>
      <c r="B938" s="6"/>
      <c r="C938" s="11"/>
      <c r="D938" s="11"/>
      <c r="E938" s="11"/>
      <c r="F938" s="6"/>
      <c r="G938" s="11"/>
      <c r="H938" s="11"/>
      <c r="I938" s="6"/>
      <c r="J938" s="6"/>
      <c r="K938" s="6"/>
      <c r="L938" s="6"/>
      <c r="M938" s="6"/>
      <c r="N938" s="6"/>
      <c r="O938" s="6"/>
      <c r="P938" s="6"/>
      <c r="Q938" s="6"/>
    </row>
    <row r="939" ht="19.5" customHeight="1">
      <c r="A939" s="22"/>
      <c r="B939" s="6"/>
      <c r="C939" s="11"/>
      <c r="D939" s="11"/>
      <c r="E939" s="11"/>
      <c r="F939" s="6"/>
      <c r="G939" s="11"/>
      <c r="H939" s="11"/>
      <c r="I939" s="6"/>
      <c r="J939" s="6"/>
      <c r="K939" s="6"/>
      <c r="L939" s="6"/>
      <c r="M939" s="6"/>
      <c r="N939" s="6"/>
      <c r="O939" s="6"/>
      <c r="P939" s="6"/>
      <c r="Q939" s="6"/>
    </row>
    <row r="940" ht="19.5" customHeight="1">
      <c r="A940" s="22"/>
      <c r="B940" s="6"/>
      <c r="C940" s="11"/>
      <c r="D940" s="11"/>
      <c r="E940" s="11"/>
      <c r="F940" s="6"/>
      <c r="G940" s="11"/>
      <c r="H940" s="11"/>
      <c r="I940" s="6"/>
      <c r="J940" s="6"/>
      <c r="K940" s="6"/>
      <c r="L940" s="6"/>
      <c r="M940" s="6"/>
      <c r="N940" s="6"/>
      <c r="O940" s="6"/>
      <c r="P940" s="6"/>
      <c r="Q940" s="6"/>
    </row>
    <row r="941" ht="19.5" customHeight="1">
      <c r="A941" s="22"/>
      <c r="B941" s="6"/>
      <c r="C941" s="11"/>
      <c r="D941" s="11"/>
      <c r="E941" s="11"/>
      <c r="F941" s="6"/>
      <c r="G941" s="11"/>
      <c r="H941" s="11"/>
      <c r="I941" s="6"/>
      <c r="J941" s="6"/>
      <c r="K941" s="6"/>
      <c r="L941" s="6"/>
      <c r="M941" s="6"/>
      <c r="N941" s="6"/>
      <c r="O941" s="6"/>
      <c r="P941" s="6"/>
      <c r="Q941" s="6"/>
    </row>
    <row r="942" ht="19.5" customHeight="1">
      <c r="A942" s="22"/>
      <c r="B942" s="6"/>
      <c r="C942" s="11"/>
      <c r="D942" s="11"/>
      <c r="E942" s="11"/>
      <c r="F942" s="6"/>
      <c r="G942" s="11"/>
      <c r="H942" s="11"/>
      <c r="I942" s="6"/>
      <c r="J942" s="6"/>
      <c r="K942" s="6"/>
      <c r="L942" s="6"/>
      <c r="M942" s="6"/>
      <c r="N942" s="6"/>
      <c r="O942" s="6"/>
      <c r="P942" s="6"/>
      <c r="Q942" s="6"/>
    </row>
    <row r="943" ht="19.5" customHeight="1">
      <c r="A943" s="22"/>
      <c r="B943" s="6"/>
      <c r="C943" s="11"/>
      <c r="D943" s="11"/>
      <c r="E943" s="11"/>
      <c r="F943" s="6"/>
      <c r="G943" s="11"/>
      <c r="H943" s="11"/>
      <c r="I943" s="6"/>
      <c r="J943" s="6"/>
      <c r="K943" s="6"/>
      <c r="L943" s="6"/>
      <c r="M943" s="6"/>
      <c r="N943" s="6"/>
      <c r="O943" s="6"/>
      <c r="P943" s="6"/>
      <c r="Q943" s="6"/>
    </row>
    <row r="944" ht="19.5" customHeight="1">
      <c r="A944" s="22"/>
      <c r="B944" s="6"/>
      <c r="C944" s="11"/>
      <c r="D944" s="11"/>
      <c r="E944" s="11"/>
      <c r="F944" s="6"/>
      <c r="G944" s="11"/>
      <c r="H944" s="11"/>
      <c r="I944" s="6"/>
      <c r="J944" s="6"/>
      <c r="K944" s="6"/>
      <c r="L944" s="6"/>
      <c r="M944" s="6"/>
      <c r="N944" s="6"/>
      <c r="O944" s="6"/>
      <c r="P944" s="6"/>
      <c r="Q944" s="6"/>
    </row>
    <row r="945" ht="19.5" customHeight="1">
      <c r="A945" s="22"/>
      <c r="B945" s="6"/>
      <c r="C945" s="11"/>
      <c r="D945" s="11"/>
      <c r="E945" s="11"/>
      <c r="F945" s="6"/>
      <c r="G945" s="11"/>
      <c r="H945" s="11"/>
      <c r="I945" s="6"/>
      <c r="J945" s="6"/>
      <c r="K945" s="6"/>
      <c r="L945" s="6"/>
      <c r="M945" s="6"/>
      <c r="N945" s="6"/>
      <c r="O945" s="6"/>
      <c r="P945" s="6"/>
      <c r="Q945" s="6"/>
    </row>
    <row r="946" ht="19.5" customHeight="1">
      <c r="A946" s="22"/>
      <c r="B946" s="6"/>
      <c r="C946" s="11"/>
      <c r="D946" s="11"/>
      <c r="E946" s="11"/>
      <c r="F946" s="6"/>
      <c r="G946" s="11"/>
      <c r="H946" s="11"/>
      <c r="I946" s="6"/>
      <c r="J946" s="6"/>
      <c r="K946" s="6"/>
      <c r="L946" s="6"/>
      <c r="M946" s="6"/>
      <c r="N946" s="6"/>
      <c r="O946" s="6"/>
      <c r="P946" s="6"/>
      <c r="Q946" s="6"/>
    </row>
    <row r="947" ht="19.5" customHeight="1">
      <c r="A947" s="22"/>
      <c r="B947" s="6"/>
      <c r="C947" s="11"/>
      <c r="D947" s="11"/>
      <c r="E947" s="11"/>
      <c r="F947" s="6"/>
      <c r="G947" s="11"/>
      <c r="H947" s="11"/>
      <c r="I947" s="6"/>
      <c r="J947" s="6"/>
      <c r="K947" s="6"/>
      <c r="L947" s="6"/>
      <c r="M947" s="6"/>
      <c r="N947" s="6"/>
      <c r="O947" s="6"/>
      <c r="P947" s="6"/>
      <c r="Q947" s="6"/>
    </row>
    <row r="948" ht="19.5" customHeight="1">
      <c r="A948" s="22"/>
      <c r="B948" s="6"/>
      <c r="C948" s="11"/>
      <c r="D948" s="11"/>
      <c r="E948" s="11"/>
      <c r="F948" s="6"/>
      <c r="G948" s="11"/>
      <c r="H948" s="11"/>
      <c r="I948" s="6"/>
      <c r="J948" s="6"/>
      <c r="K948" s="6"/>
      <c r="L948" s="6"/>
      <c r="M948" s="6"/>
      <c r="N948" s="6"/>
      <c r="O948" s="6"/>
      <c r="P948" s="6"/>
      <c r="Q948" s="6"/>
    </row>
    <row r="949" ht="19.5" customHeight="1">
      <c r="A949" s="22"/>
      <c r="B949" s="6"/>
      <c r="C949" s="11"/>
      <c r="D949" s="11"/>
      <c r="E949" s="11"/>
      <c r="F949" s="6"/>
      <c r="G949" s="11"/>
      <c r="H949" s="11"/>
      <c r="I949" s="6"/>
      <c r="J949" s="6"/>
      <c r="K949" s="6"/>
      <c r="L949" s="6"/>
      <c r="M949" s="6"/>
      <c r="N949" s="6"/>
      <c r="O949" s="6"/>
      <c r="P949" s="6"/>
      <c r="Q949" s="6"/>
    </row>
    <row r="950" ht="19.5" customHeight="1">
      <c r="A950" s="22"/>
      <c r="B950" s="6"/>
      <c r="C950" s="11"/>
      <c r="D950" s="11"/>
      <c r="E950" s="11"/>
      <c r="F950" s="6"/>
      <c r="G950" s="11"/>
      <c r="H950" s="11"/>
      <c r="I950" s="6"/>
      <c r="J950" s="6"/>
      <c r="K950" s="6"/>
      <c r="L950" s="6"/>
      <c r="M950" s="6"/>
      <c r="N950" s="6"/>
      <c r="O950" s="6"/>
      <c r="P950" s="6"/>
      <c r="Q950" s="6"/>
    </row>
    <row r="951" ht="19.5" customHeight="1">
      <c r="A951" s="22"/>
      <c r="B951" s="6"/>
      <c r="C951" s="11"/>
      <c r="D951" s="11"/>
      <c r="E951" s="11"/>
      <c r="F951" s="6"/>
      <c r="G951" s="11"/>
      <c r="H951" s="11"/>
      <c r="I951" s="6"/>
      <c r="J951" s="6"/>
      <c r="K951" s="6"/>
      <c r="L951" s="6"/>
      <c r="M951" s="6"/>
      <c r="N951" s="6"/>
      <c r="O951" s="6"/>
      <c r="P951" s="6"/>
      <c r="Q951" s="6"/>
    </row>
    <row r="952" ht="19.5" customHeight="1">
      <c r="A952" s="22"/>
      <c r="B952" s="6"/>
      <c r="C952" s="11"/>
      <c r="D952" s="11"/>
      <c r="E952" s="11"/>
      <c r="F952" s="6"/>
      <c r="G952" s="11"/>
      <c r="H952" s="11"/>
      <c r="I952" s="6"/>
      <c r="J952" s="6"/>
      <c r="K952" s="6"/>
      <c r="L952" s="6"/>
      <c r="M952" s="6"/>
      <c r="N952" s="6"/>
      <c r="O952" s="6"/>
      <c r="P952" s="6"/>
      <c r="Q952" s="6"/>
    </row>
    <row r="953" ht="19.5" customHeight="1">
      <c r="A953" s="22"/>
      <c r="B953" s="6"/>
      <c r="C953" s="11"/>
      <c r="D953" s="11"/>
      <c r="E953" s="11"/>
      <c r="F953" s="6"/>
      <c r="G953" s="11"/>
      <c r="H953" s="11"/>
      <c r="I953" s="6"/>
      <c r="J953" s="6"/>
      <c r="K953" s="6"/>
      <c r="L953" s="6"/>
      <c r="M953" s="6"/>
      <c r="N953" s="6"/>
      <c r="O953" s="6"/>
      <c r="P953" s="6"/>
      <c r="Q953" s="6"/>
    </row>
    <row r="954" ht="19.5" customHeight="1">
      <c r="A954" s="22"/>
      <c r="B954" s="6"/>
      <c r="C954" s="11"/>
      <c r="D954" s="11"/>
      <c r="E954" s="11"/>
      <c r="F954" s="6"/>
      <c r="G954" s="11"/>
      <c r="H954" s="11"/>
      <c r="I954" s="6"/>
      <c r="J954" s="6"/>
      <c r="K954" s="6"/>
      <c r="L954" s="6"/>
      <c r="M954" s="6"/>
      <c r="N954" s="6"/>
      <c r="O954" s="6"/>
      <c r="P954" s="6"/>
      <c r="Q954" s="6"/>
    </row>
    <row r="955" ht="19.5" customHeight="1">
      <c r="A955" s="22"/>
      <c r="B955" s="6"/>
      <c r="C955" s="11"/>
      <c r="D955" s="11"/>
      <c r="E955" s="11"/>
      <c r="F955" s="6"/>
      <c r="G955" s="11"/>
      <c r="H955" s="11"/>
      <c r="I955" s="6"/>
      <c r="J955" s="6"/>
      <c r="K955" s="6"/>
      <c r="L955" s="6"/>
      <c r="M955" s="6"/>
      <c r="N955" s="6"/>
      <c r="O955" s="6"/>
      <c r="P955" s="6"/>
      <c r="Q955" s="6"/>
    </row>
    <row r="956" ht="19.5" customHeight="1">
      <c r="A956" s="22"/>
      <c r="B956" s="6"/>
      <c r="C956" s="11"/>
      <c r="D956" s="11"/>
      <c r="E956" s="11"/>
      <c r="F956" s="6"/>
      <c r="G956" s="11"/>
      <c r="H956" s="11"/>
      <c r="I956" s="6"/>
      <c r="J956" s="6"/>
      <c r="K956" s="6"/>
      <c r="L956" s="6"/>
      <c r="M956" s="6"/>
      <c r="N956" s="6"/>
      <c r="O956" s="6"/>
      <c r="P956" s="6"/>
      <c r="Q956" s="6"/>
    </row>
    <row r="957" ht="19.5" customHeight="1">
      <c r="A957" s="22"/>
      <c r="B957" s="6"/>
      <c r="C957" s="11"/>
      <c r="D957" s="11"/>
      <c r="E957" s="11"/>
      <c r="F957" s="6"/>
      <c r="G957" s="11"/>
      <c r="H957" s="11"/>
      <c r="I957" s="6"/>
      <c r="J957" s="6"/>
      <c r="K957" s="6"/>
      <c r="L957" s="6"/>
      <c r="M957" s="6"/>
      <c r="N957" s="6"/>
      <c r="O957" s="6"/>
      <c r="P957" s="6"/>
      <c r="Q957" s="6"/>
    </row>
    <row r="958" ht="19.5" customHeight="1">
      <c r="A958" s="22"/>
      <c r="B958" s="6"/>
      <c r="C958" s="11"/>
      <c r="D958" s="11"/>
      <c r="E958" s="11"/>
      <c r="F958" s="6"/>
      <c r="G958" s="11"/>
      <c r="H958" s="11"/>
      <c r="I958" s="6"/>
      <c r="J958" s="6"/>
      <c r="K958" s="6"/>
      <c r="L958" s="6"/>
      <c r="M958" s="6"/>
      <c r="N958" s="6"/>
      <c r="O958" s="6"/>
      <c r="P958" s="6"/>
      <c r="Q958" s="6"/>
    </row>
    <row r="959" ht="19.5" customHeight="1">
      <c r="A959" s="22"/>
      <c r="B959" s="6"/>
      <c r="C959" s="11"/>
      <c r="D959" s="11"/>
      <c r="E959" s="11"/>
      <c r="F959" s="6"/>
      <c r="G959" s="11"/>
      <c r="H959" s="11"/>
      <c r="I959" s="6"/>
      <c r="J959" s="6"/>
      <c r="K959" s="6"/>
      <c r="L959" s="6"/>
      <c r="M959" s="6"/>
      <c r="N959" s="6"/>
      <c r="O959" s="6"/>
      <c r="P959" s="6"/>
      <c r="Q959" s="6"/>
    </row>
    <row r="960" ht="19.5" customHeight="1">
      <c r="A960" s="22"/>
      <c r="B960" s="6"/>
      <c r="C960" s="11"/>
      <c r="D960" s="11"/>
      <c r="E960" s="11"/>
      <c r="F960" s="6"/>
      <c r="G960" s="11"/>
      <c r="H960" s="11"/>
      <c r="I960" s="6"/>
      <c r="J960" s="6"/>
      <c r="K960" s="6"/>
      <c r="L960" s="6"/>
      <c r="M960" s="6"/>
      <c r="N960" s="6"/>
      <c r="O960" s="6"/>
      <c r="P960" s="6"/>
      <c r="Q960" s="6"/>
    </row>
    <row r="961" ht="19.5" customHeight="1">
      <c r="A961" s="22"/>
      <c r="B961" s="6"/>
      <c r="C961" s="11"/>
      <c r="D961" s="11"/>
      <c r="E961" s="11"/>
      <c r="F961" s="6"/>
      <c r="G961" s="11"/>
      <c r="H961" s="11"/>
      <c r="I961" s="6"/>
      <c r="J961" s="6"/>
      <c r="K961" s="6"/>
      <c r="L961" s="6"/>
      <c r="M961" s="6"/>
      <c r="N961" s="6"/>
      <c r="O961" s="6"/>
      <c r="P961" s="6"/>
      <c r="Q961" s="6"/>
    </row>
    <row r="962" ht="19.5" customHeight="1">
      <c r="A962" s="22"/>
      <c r="B962" s="6"/>
      <c r="C962" s="11"/>
      <c r="D962" s="11"/>
      <c r="E962" s="11"/>
      <c r="F962" s="6"/>
      <c r="G962" s="11"/>
      <c r="H962" s="11"/>
      <c r="I962" s="6"/>
      <c r="J962" s="6"/>
      <c r="K962" s="6"/>
      <c r="L962" s="6"/>
      <c r="M962" s="6"/>
      <c r="N962" s="6"/>
      <c r="O962" s="6"/>
      <c r="P962" s="6"/>
      <c r="Q962" s="6"/>
    </row>
    <row r="963" ht="19.5" customHeight="1">
      <c r="A963" s="22"/>
      <c r="B963" s="6"/>
      <c r="C963" s="11"/>
      <c r="D963" s="11"/>
      <c r="E963" s="11"/>
      <c r="F963" s="6"/>
      <c r="G963" s="11"/>
      <c r="H963" s="11"/>
      <c r="I963" s="6"/>
      <c r="J963" s="6"/>
      <c r="K963" s="6"/>
      <c r="L963" s="6"/>
      <c r="M963" s="6"/>
      <c r="N963" s="6"/>
      <c r="O963" s="6"/>
      <c r="P963" s="6"/>
      <c r="Q963" s="6"/>
    </row>
    <row r="964" ht="19.5" customHeight="1">
      <c r="A964" s="22"/>
      <c r="B964" s="6"/>
      <c r="C964" s="11"/>
      <c r="D964" s="11"/>
      <c r="E964" s="11"/>
      <c r="F964" s="6"/>
      <c r="G964" s="11"/>
      <c r="H964" s="11"/>
      <c r="I964" s="6"/>
      <c r="J964" s="6"/>
      <c r="K964" s="6"/>
      <c r="L964" s="6"/>
      <c r="M964" s="6"/>
      <c r="N964" s="6"/>
      <c r="O964" s="6"/>
      <c r="P964" s="6"/>
      <c r="Q964" s="6"/>
    </row>
    <row r="965" ht="19.5" customHeight="1">
      <c r="A965" s="22"/>
      <c r="B965" s="6"/>
      <c r="C965" s="11"/>
      <c r="D965" s="11"/>
      <c r="E965" s="11"/>
      <c r="F965" s="6"/>
      <c r="G965" s="11"/>
      <c r="H965" s="11"/>
      <c r="I965" s="6"/>
      <c r="J965" s="6"/>
      <c r="K965" s="6"/>
      <c r="L965" s="6"/>
      <c r="M965" s="6"/>
      <c r="N965" s="6"/>
      <c r="O965" s="6"/>
      <c r="P965" s="6"/>
      <c r="Q965" s="6"/>
    </row>
    <row r="966" ht="19.5" customHeight="1">
      <c r="A966" s="22"/>
      <c r="B966" s="6"/>
      <c r="C966" s="11"/>
      <c r="D966" s="11"/>
      <c r="E966" s="11"/>
      <c r="F966" s="6"/>
      <c r="G966" s="11"/>
      <c r="H966" s="11"/>
      <c r="I966" s="6"/>
      <c r="J966" s="6"/>
      <c r="K966" s="6"/>
      <c r="L966" s="6"/>
      <c r="M966" s="6"/>
      <c r="N966" s="6"/>
      <c r="O966" s="6"/>
      <c r="P966" s="6"/>
      <c r="Q966" s="6"/>
    </row>
    <row r="967" ht="19.5" customHeight="1">
      <c r="A967" s="22"/>
      <c r="B967" s="6"/>
      <c r="C967" s="11"/>
      <c r="D967" s="11"/>
      <c r="E967" s="11"/>
      <c r="F967" s="6"/>
      <c r="G967" s="11"/>
      <c r="H967" s="11"/>
      <c r="I967" s="6"/>
      <c r="J967" s="6"/>
      <c r="K967" s="6"/>
      <c r="L967" s="6"/>
      <c r="M967" s="6"/>
      <c r="N967" s="6"/>
      <c r="O967" s="6"/>
      <c r="P967" s="6"/>
      <c r="Q967" s="6"/>
    </row>
    <row r="968" ht="19.5" customHeight="1">
      <c r="A968" s="22"/>
      <c r="B968" s="6"/>
      <c r="C968" s="11"/>
      <c r="D968" s="11"/>
      <c r="E968" s="11"/>
      <c r="F968" s="6"/>
      <c r="G968" s="11"/>
      <c r="H968" s="11"/>
      <c r="I968" s="6"/>
      <c r="J968" s="6"/>
      <c r="K968" s="6"/>
      <c r="L968" s="6"/>
      <c r="M968" s="6"/>
      <c r="N968" s="6"/>
      <c r="O968" s="6"/>
      <c r="P968" s="6"/>
      <c r="Q968" s="6"/>
    </row>
    <row r="969" ht="19.5" customHeight="1">
      <c r="A969" s="22"/>
      <c r="B969" s="6"/>
      <c r="C969" s="11"/>
      <c r="D969" s="11"/>
      <c r="E969" s="11"/>
      <c r="F969" s="6"/>
      <c r="G969" s="11"/>
      <c r="H969" s="11"/>
      <c r="I969" s="6"/>
      <c r="J969" s="6"/>
      <c r="K969" s="6"/>
      <c r="L969" s="6"/>
      <c r="M969" s="6"/>
      <c r="N969" s="6"/>
      <c r="O969" s="6"/>
      <c r="P969" s="6"/>
      <c r="Q969" s="6"/>
    </row>
    <row r="970" ht="19.5" customHeight="1">
      <c r="A970" s="22"/>
      <c r="B970" s="6"/>
      <c r="C970" s="11"/>
      <c r="D970" s="11"/>
      <c r="E970" s="11"/>
      <c r="F970" s="6"/>
      <c r="G970" s="11"/>
      <c r="H970" s="11"/>
      <c r="I970" s="6"/>
      <c r="J970" s="6"/>
      <c r="K970" s="6"/>
      <c r="L970" s="6"/>
      <c r="M970" s="6"/>
      <c r="N970" s="6"/>
      <c r="O970" s="6"/>
      <c r="P970" s="6"/>
      <c r="Q970" s="6"/>
    </row>
    <row r="971" ht="19.5" customHeight="1">
      <c r="A971" s="22"/>
      <c r="B971" s="6"/>
      <c r="C971" s="11"/>
      <c r="D971" s="11"/>
      <c r="E971" s="11"/>
      <c r="F971" s="6"/>
      <c r="G971" s="11"/>
      <c r="H971" s="11"/>
      <c r="I971" s="6"/>
      <c r="J971" s="6"/>
      <c r="K971" s="6"/>
      <c r="L971" s="6"/>
      <c r="M971" s="6"/>
      <c r="N971" s="6"/>
      <c r="O971" s="6"/>
      <c r="P971" s="6"/>
      <c r="Q971" s="6"/>
    </row>
    <row r="972" ht="19.5" customHeight="1">
      <c r="A972" s="22"/>
      <c r="B972" s="6"/>
      <c r="C972" s="11"/>
      <c r="D972" s="11"/>
      <c r="E972" s="11"/>
      <c r="F972" s="6"/>
      <c r="G972" s="11"/>
      <c r="H972" s="11"/>
      <c r="I972" s="6"/>
      <c r="J972" s="6"/>
      <c r="K972" s="6"/>
      <c r="L972" s="6"/>
      <c r="M972" s="6"/>
      <c r="N972" s="6"/>
      <c r="O972" s="6"/>
      <c r="P972" s="6"/>
      <c r="Q972" s="6"/>
    </row>
    <row r="973" ht="19.5" customHeight="1">
      <c r="A973" s="22"/>
      <c r="B973" s="6"/>
      <c r="C973" s="11"/>
      <c r="D973" s="11"/>
      <c r="E973" s="11"/>
      <c r="F973" s="6"/>
      <c r="G973" s="11"/>
      <c r="H973" s="11"/>
      <c r="I973" s="6"/>
      <c r="J973" s="6"/>
      <c r="K973" s="6"/>
      <c r="L973" s="6"/>
      <c r="M973" s="6"/>
      <c r="N973" s="6"/>
      <c r="O973" s="6"/>
      <c r="P973" s="6"/>
      <c r="Q973" s="6"/>
    </row>
    <row r="974" ht="19.5" customHeight="1">
      <c r="A974" s="22"/>
      <c r="B974" s="6"/>
      <c r="C974" s="11"/>
      <c r="D974" s="11"/>
      <c r="E974" s="11"/>
      <c r="F974" s="6"/>
      <c r="G974" s="11"/>
      <c r="H974" s="11"/>
      <c r="I974" s="6"/>
      <c r="J974" s="6"/>
      <c r="K974" s="6"/>
      <c r="L974" s="6"/>
      <c r="M974" s="6"/>
      <c r="N974" s="6"/>
      <c r="O974" s="6"/>
      <c r="P974" s="6"/>
      <c r="Q974" s="6"/>
    </row>
    <row r="975" ht="19.5" customHeight="1">
      <c r="A975" s="22"/>
      <c r="B975" s="6"/>
      <c r="C975" s="11"/>
      <c r="D975" s="11"/>
      <c r="E975" s="11"/>
      <c r="F975" s="6"/>
      <c r="G975" s="11"/>
      <c r="H975" s="11"/>
      <c r="I975" s="6"/>
      <c r="J975" s="6"/>
      <c r="K975" s="6"/>
      <c r="L975" s="6"/>
      <c r="M975" s="6"/>
      <c r="N975" s="6"/>
      <c r="O975" s="6"/>
      <c r="P975" s="6"/>
      <c r="Q975" s="6"/>
    </row>
    <row r="976" ht="19.5" customHeight="1">
      <c r="A976" s="22"/>
      <c r="B976" s="6"/>
      <c r="C976" s="11"/>
      <c r="D976" s="11"/>
      <c r="E976" s="11"/>
      <c r="F976" s="6"/>
      <c r="G976" s="11"/>
      <c r="H976" s="11"/>
      <c r="I976" s="6"/>
      <c r="J976" s="6"/>
      <c r="K976" s="6"/>
      <c r="L976" s="6"/>
      <c r="M976" s="6"/>
      <c r="N976" s="6"/>
      <c r="O976" s="6"/>
      <c r="P976" s="6"/>
      <c r="Q976" s="6"/>
    </row>
    <row r="977" ht="19.5" customHeight="1">
      <c r="A977" s="22"/>
      <c r="B977" s="6"/>
      <c r="C977" s="11"/>
      <c r="D977" s="11"/>
      <c r="E977" s="11"/>
      <c r="F977" s="6"/>
      <c r="G977" s="11"/>
      <c r="H977" s="11"/>
      <c r="I977" s="6"/>
      <c r="J977" s="6"/>
      <c r="K977" s="6"/>
      <c r="L977" s="6"/>
      <c r="M977" s="6"/>
      <c r="N977" s="6"/>
      <c r="O977" s="6"/>
      <c r="P977" s="6"/>
      <c r="Q977" s="6"/>
    </row>
    <row r="978" ht="19.5" customHeight="1">
      <c r="A978" s="22"/>
      <c r="B978" s="6"/>
      <c r="C978" s="11"/>
      <c r="D978" s="11"/>
      <c r="E978" s="11"/>
      <c r="F978" s="6"/>
      <c r="G978" s="11"/>
      <c r="H978" s="11"/>
      <c r="I978" s="6"/>
      <c r="J978" s="6"/>
      <c r="K978" s="6"/>
      <c r="L978" s="6"/>
      <c r="M978" s="6"/>
      <c r="N978" s="6"/>
      <c r="O978" s="6"/>
      <c r="P978" s="6"/>
      <c r="Q978" s="6"/>
    </row>
    <row r="979" ht="19.5" customHeight="1">
      <c r="A979" s="22"/>
      <c r="B979" s="6"/>
      <c r="C979" s="11"/>
      <c r="D979" s="11"/>
      <c r="E979" s="11"/>
      <c r="F979" s="6"/>
      <c r="G979" s="11"/>
      <c r="H979" s="11"/>
      <c r="I979" s="6"/>
      <c r="J979" s="6"/>
      <c r="K979" s="6"/>
      <c r="L979" s="6"/>
      <c r="M979" s="6"/>
      <c r="N979" s="6"/>
      <c r="O979" s="6"/>
      <c r="P979" s="6"/>
      <c r="Q979" s="6"/>
    </row>
    <row r="980" ht="19.5" customHeight="1">
      <c r="A980" s="22"/>
      <c r="B980" s="6"/>
      <c r="C980" s="11"/>
      <c r="D980" s="11"/>
      <c r="E980" s="11"/>
      <c r="F980" s="6"/>
      <c r="G980" s="11"/>
      <c r="H980" s="11"/>
      <c r="I980" s="6"/>
      <c r="J980" s="6"/>
      <c r="K980" s="6"/>
      <c r="L980" s="6"/>
      <c r="M980" s="6"/>
      <c r="N980" s="6"/>
      <c r="O980" s="6"/>
      <c r="P980" s="6"/>
      <c r="Q980" s="6"/>
    </row>
    <row r="981" ht="19.5" customHeight="1">
      <c r="A981" s="22"/>
      <c r="B981" s="6"/>
      <c r="C981" s="11"/>
      <c r="D981" s="11"/>
      <c r="E981" s="11"/>
      <c r="F981" s="6"/>
      <c r="G981" s="11"/>
      <c r="H981" s="11"/>
      <c r="I981" s="6"/>
      <c r="J981" s="6"/>
      <c r="K981" s="6"/>
      <c r="L981" s="6"/>
      <c r="M981" s="6"/>
      <c r="N981" s="6"/>
      <c r="O981" s="6"/>
      <c r="P981" s="6"/>
      <c r="Q981" s="6"/>
    </row>
    <row r="982" ht="19.5" customHeight="1">
      <c r="A982" s="22"/>
      <c r="B982" s="6"/>
      <c r="C982" s="11"/>
      <c r="D982" s="11"/>
      <c r="E982" s="11"/>
      <c r="F982" s="6"/>
      <c r="G982" s="11"/>
      <c r="H982" s="11"/>
      <c r="I982" s="6"/>
      <c r="J982" s="6"/>
      <c r="K982" s="6"/>
      <c r="L982" s="6"/>
      <c r="M982" s="6"/>
      <c r="N982" s="6"/>
      <c r="O982" s="6"/>
      <c r="P982" s="6"/>
      <c r="Q982" s="6"/>
    </row>
    <row r="983" ht="19.5" customHeight="1">
      <c r="A983" s="22"/>
      <c r="B983" s="6"/>
      <c r="C983" s="11"/>
      <c r="D983" s="11"/>
      <c r="E983" s="11"/>
      <c r="F983" s="6"/>
      <c r="G983" s="11"/>
      <c r="H983" s="11"/>
      <c r="I983" s="6"/>
      <c r="J983" s="6"/>
      <c r="K983" s="6"/>
      <c r="L983" s="6"/>
      <c r="M983" s="6"/>
      <c r="N983" s="6"/>
      <c r="O983" s="6"/>
      <c r="P983" s="6"/>
      <c r="Q983" s="6"/>
    </row>
    <row r="984" ht="19.5" customHeight="1">
      <c r="A984" s="22"/>
      <c r="B984" s="6"/>
      <c r="C984" s="11"/>
      <c r="D984" s="11"/>
      <c r="E984" s="11"/>
      <c r="F984" s="6"/>
      <c r="G984" s="11"/>
      <c r="H984" s="11"/>
      <c r="I984" s="6"/>
      <c r="J984" s="6"/>
      <c r="K984" s="6"/>
      <c r="L984" s="6"/>
      <c r="M984" s="6"/>
      <c r="N984" s="6"/>
      <c r="O984" s="6"/>
      <c r="P984" s="6"/>
      <c r="Q984" s="6"/>
    </row>
    <row r="985" ht="19.5" customHeight="1">
      <c r="A985" s="22"/>
      <c r="B985" s="6"/>
      <c r="C985" s="11"/>
      <c r="D985" s="11"/>
      <c r="E985" s="11"/>
      <c r="F985" s="6"/>
      <c r="G985" s="11"/>
      <c r="H985" s="11"/>
      <c r="I985" s="6"/>
      <c r="J985" s="6"/>
      <c r="K985" s="6"/>
      <c r="L985" s="6"/>
      <c r="M985" s="6"/>
      <c r="N985" s="6"/>
      <c r="O985" s="6"/>
      <c r="P985" s="6"/>
      <c r="Q985" s="6"/>
    </row>
    <row r="986" ht="19.5" customHeight="1">
      <c r="A986" s="22"/>
      <c r="B986" s="6"/>
      <c r="C986" s="11"/>
      <c r="D986" s="11"/>
      <c r="E986" s="11"/>
      <c r="F986" s="6"/>
      <c r="G986" s="11"/>
      <c r="H986" s="11"/>
      <c r="I986" s="6"/>
      <c r="J986" s="6"/>
      <c r="K986" s="6"/>
      <c r="L986" s="6"/>
      <c r="M986" s="6"/>
      <c r="N986" s="6"/>
      <c r="O986" s="6"/>
      <c r="P986" s="6"/>
      <c r="Q986" s="6"/>
    </row>
    <row r="987" ht="19.5" customHeight="1">
      <c r="A987" s="22"/>
      <c r="B987" s="6"/>
      <c r="C987" s="11"/>
      <c r="D987" s="11"/>
      <c r="E987" s="11"/>
      <c r="F987" s="6"/>
      <c r="G987" s="11"/>
      <c r="H987" s="11"/>
      <c r="I987" s="6"/>
      <c r="J987" s="6"/>
      <c r="K987" s="6"/>
      <c r="L987" s="6"/>
      <c r="M987" s="6"/>
      <c r="N987" s="6"/>
      <c r="O987" s="6"/>
      <c r="P987" s="6"/>
      <c r="Q987" s="6"/>
    </row>
    <row r="988" ht="19.5" customHeight="1">
      <c r="A988" s="22"/>
      <c r="B988" s="6"/>
      <c r="C988" s="11"/>
      <c r="D988" s="11"/>
      <c r="E988" s="11"/>
      <c r="F988" s="6"/>
      <c r="G988" s="11"/>
      <c r="H988" s="11"/>
      <c r="I988" s="6"/>
      <c r="J988" s="6"/>
      <c r="K988" s="6"/>
      <c r="L988" s="6"/>
      <c r="M988" s="6"/>
      <c r="N988" s="6"/>
      <c r="O988" s="6"/>
      <c r="P988" s="6"/>
      <c r="Q988" s="6"/>
    </row>
    <row r="989" ht="19.5" customHeight="1">
      <c r="A989" s="22"/>
      <c r="B989" s="6"/>
      <c r="C989" s="11"/>
      <c r="D989" s="11"/>
      <c r="E989" s="11"/>
      <c r="F989" s="6"/>
      <c r="G989" s="11"/>
      <c r="H989" s="11"/>
      <c r="I989" s="6"/>
      <c r="J989" s="6"/>
      <c r="K989" s="6"/>
      <c r="L989" s="6"/>
      <c r="M989" s="6"/>
      <c r="N989" s="6"/>
      <c r="O989" s="6"/>
      <c r="P989" s="6"/>
      <c r="Q989" s="6"/>
    </row>
    <row r="990" ht="19.5" customHeight="1">
      <c r="A990" s="22"/>
      <c r="B990" s="6"/>
      <c r="C990" s="11"/>
      <c r="D990" s="11"/>
      <c r="E990" s="11"/>
      <c r="F990" s="6"/>
      <c r="G990" s="11"/>
      <c r="H990" s="11"/>
      <c r="I990" s="6"/>
      <c r="J990" s="6"/>
      <c r="K990" s="6"/>
      <c r="L990" s="6"/>
      <c r="M990" s="6"/>
      <c r="N990" s="6"/>
      <c r="O990" s="6"/>
      <c r="P990" s="6"/>
      <c r="Q990" s="6"/>
    </row>
    <row r="991" ht="19.5" customHeight="1">
      <c r="A991" s="22"/>
      <c r="B991" s="6"/>
      <c r="C991" s="11"/>
      <c r="D991" s="11"/>
      <c r="E991" s="11"/>
      <c r="F991" s="6"/>
      <c r="G991" s="11"/>
      <c r="H991" s="11"/>
      <c r="I991" s="6"/>
      <c r="J991" s="6"/>
      <c r="K991" s="6"/>
      <c r="L991" s="6"/>
      <c r="M991" s="6"/>
      <c r="N991" s="6"/>
      <c r="O991" s="6"/>
      <c r="P991" s="6"/>
      <c r="Q991" s="6"/>
    </row>
    <row r="992" ht="19.5" customHeight="1">
      <c r="A992" s="22"/>
      <c r="B992" s="6"/>
      <c r="C992" s="11"/>
      <c r="D992" s="11"/>
      <c r="E992" s="11"/>
      <c r="F992" s="6"/>
      <c r="G992" s="11"/>
      <c r="H992" s="11"/>
      <c r="I992" s="6"/>
      <c r="J992" s="6"/>
      <c r="K992" s="6"/>
      <c r="L992" s="6"/>
      <c r="M992" s="6"/>
      <c r="N992" s="6"/>
      <c r="O992" s="6"/>
      <c r="P992" s="6"/>
      <c r="Q992" s="6"/>
    </row>
    <row r="993" ht="19.5" customHeight="1">
      <c r="A993" s="22"/>
      <c r="B993" s="6"/>
      <c r="C993" s="11"/>
      <c r="D993" s="11"/>
      <c r="E993" s="11"/>
      <c r="F993" s="6"/>
      <c r="G993" s="11"/>
      <c r="H993" s="11"/>
      <c r="I993" s="6"/>
      <c r="J993" s="6"/>
      <c r="K993" s="6"/>
      <c r="L993" s="6"/>
      <c r="M993" s="6"/>
      <c r="N993" s="6"/>
      <c r="O993" s="6"/>
      <c r="P993" s="6"/>
      <c r="Q993" s="6"/>
    </row>
    <row r="994" ht="19.5" customHeight="1">
      <c r="A994" s="22"/>
      <c r="B994" s="6"/>
      <c r="C994" s="11"/>
      <c r="D994" s="11"/>
      <c r="E994" s="11"/>
      <c r="F994" s="6"/>
      <c r="G994" s="11"/>
      <c r="H994" s="11"/>
      <c r="I994" s="6"/>
      <c r="J994" s="6"/>
      <c r="K994" s="6"/>
      <c r="L994" s="6"/>
      <c r="M994" s="6"/>
      <c r="N994" s="6"/>
      <c r="O994" s="6"/>
      <c r="P994" s="6"/>
      <c r="Q994" s="6"/>
    </row>
    <row r="995" ht="19.5" customHeight="1">
      <c r="A995" s="22"/>
      <c r="B995" s="6"/>
      <c r="C995" s="11"/>
      <c r="D995" s="11"/>
      <c r="E995" s="11"/>
      <c r="F995" s="6"/>
      <c r="G995" s="11"/>
      <c r="H995" s="11"/>
      <c r="I995" s="6"/>
      <c r="J995" s="6"/>
      <c r="K995" s="6"/>
      <c r="L995" s="6"/>
      <c r="M995" s="6"/>
      <c r="N995" s="6"/>
      <c r="O995" s="6"/>
      <c r="P995" s="6"/>
      <c r="Q995" s="6"/>
    </row>
    <row r="996" ht="19.5" customHeight="1">
      <c r="A996" s="22"/>
      <c r="B996" s="6"/>
      <c r="C996" s="11"/>
      <c r="D996" s="11"/>
      <c r="E996" s="11"/>
      <c r="F996" s="6"/>
      <c r="G996" s="11"/>
      <c r="H996" s="11"/>
      <c r="I996" s="6"/>
      <c r="J996" s="6"/>
      <c r="K996" s="6"/>
      <c r="L996" s="6"/>
      <c r="M996" s="6"/>
      <c r="N996" s="6"/>
      <c r="O996" s="6"/>
      <c r="P996" s="6"/>
      <c r="Q996" s="6"/>
    </row>
    <row r="997" ht="19.5" customHeight="1">
      <c r="A997" s="22"/>
      <c r="B997" s="6"/>
      <c r="C997" s="11"/>
      <c r="D997" s="11"/>
      <c r="E997" s="11"/>
      <c r="F997" s="6"/>
      <c r="G997" s="11"/>
      <c r="H997" s="11"/>
      <c r="I997" s="6"/>
      <c r="J997" s="6"/>
      <c r="K997" s="6"/>
      <c r="L997" s="6"/>
      <c r="M997" s="6"/>
      <c r="N997" s="6"/>
      <c r="O997" s="6"/>
      <c r="P997" s="6"/>
      <c r="Q997" s="6"/>
    </row>
    <row r="998" ht="19.5" customHeight="1">
      <c r="A998" s="22"/>
      <c r="B998" s="6"/>
      <c r="C998" s="11"/>
      <c r="D998" s="11"/>
      <c r="E998" s="11"/>
      <c r="F998" s="6"/>
      <c r="G998" s="11"/>
      <c r="H998" s="11"/>
      <c r="I998" s="6"/>
      <c r="J998" s="6"/>
      <c r="K998" s="6"/>
      <c r="L998" s="6"/>
      <c r="M998" s="6"/>
      <c r="N998" s="6"/>
      <c r="O998" s="6"/>
      <c r="P998" s="6"/>
      <c r="Q998" s="6"/>
    </row>
    <row r="999" ht="19.5" customHeight="1">
      <c r="A999" s="22"/>
      <c r="B999" s="6"/>
      <c r="C999" s="11"/>
      <c r="D999" s="11"/>
      <c r="E999" s="11"/>
      <c r="F999" s="6"/>
      <c r="G999" s="11"/>
      <c r="H999" s="11"/>
      <c r="I999" s="6"/>
      <c r="J999" s="6"/>
      <c r="K999" s="6"/>
      <c r="L999" s="6"/>
      <c r="M999" s="6"/>
      <c r="N999" s="6"/>
      <c r="O999" s="6"/>
      <c r="P999" s="6"/>
      <c r="Q999" s="6"/>
    </row>
    <row r="1000" ht="19.5" customHeight="1">
      <c r="A1000" s="22"/>
      <c r="B1000" s="6"/>
      <c r="C1000" s="11"/>
      <c r="D1000" s="11"/>
      <c r="E1000" s="11"/>
      <c r="F1000" s="6"/>
      <c r="G1000" s="11"/>
      <c r="H1000" s="11"/>
      <c r="I1000" s="6"/>
      <c r="J1000" s="6"/>
      <c r="K1000" s="6"/>
      <c r="L1000" s="6"/>
      <c r="M1000" s="6"/>
      <c r="N1000" s="6"/>
      <c r="O1000" s="6"/>
      <c r="P1000" s="6"/>
      <c r="Q1000" s="6"/>
    </row>
  </sheetData>
  <dataValidations>
    <dataValidation type="custom" allowBlank="1" showDropDown="1" sqref="A2:A445">
      <formula1>OR(NOT(ISERROR(DATEVALUE(A2))), AND(ISNUMBER(A2), LEFT(CELL("format", A2))="D"))</formula1>
    </dataValidation>
    <dataValidation type="custom" allowBlank="1" showDropDown="1" sqref="B2:F445">
      <formula1>AND(ISNUMBER(B2),(NOT(OR(NOT(ISERROR(DATEVALUE(B2))), AND(ISNUMBER(B2), LEFT(CELL("format", B2))="D")))))</formula1>
    </dataValidation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57"/>
    <col customWidth="1" min="3" max="3" width="13.0"/>
    <col customWidth="1" min="4" max="4" width="31.29"/>
    <col customWidth="1" min="5" max="26" width="8.71"/>
  </cols>
  <sheetData>
    <row r="1" ht="12.75" customHeight="1">
      <c r="A1" s="23" t="s">
        <v>6</v>
      </c>
      <c r="B1" s="24" t="s">
        <v>7</v>
      </c>
      <c r="C1" s="25" t="s">
        <v>8</v>
      </c>
      <c r="D1" s="26" t="s">
        <v>9</v>
      </c>
    </row>
    <row r="2" ht="28.5" customHeight="1">
      <c r="A2" s="27" t="s">
        <v>10</v>
      </c>
      <c r="B2" s="28">
        <v>3.0</v>
      </c>
      <c r="C2" s="29" t="s">
        <v>11</v>
      </c>
      <c r="D2" s="30" t="s">
        <v>12</v>
      </c>
    </row>
    <row r="3" ht="18.0" customHeight="1">
      <c r="A3" s="27" t="s">
        <v>13</v>
      </c>
      <c r="B3" s="28">
        <v>70.0</v>
      </c>
      <c r="C3" s="29" t="s">
        <v>14</v>
      </c>
      <c r="D3" s="30" t="s">
        <v>15</v>
      </c>
    </row>
    <row r="4" ht="12.75" customHeight="1">
      <c r="A4" s="27" t="s">
        <v>16</v>
      </c>
      <c r="B4" s="28">
        <v>3000.0</v>
      </c>
      <c r="C4" s="29" t="s">
        <v>17</v>
      </c>
      <c r="D4" s="30" t="s">
        <v>18</v>
      </c>
    </row>
    <row r="5" ht="12.75" customHeight="1">
      <c r="A5" s="27" t="s">
        <v>19</v>
      </c>
      <c r="B5" s="29">
        <v>0.0083</v>
      </c>
      <c r="C5" s="29" t="s">
        <v>17</v>
      </c>
      <c r="D5" s="30" t="s">
        <v>20</v>
      </c>
    </row>
    <row r="6" ht="12.75" customHeight="1">
      <c r="A6" s="31" t="s">
        <v>21</v>
      </c>
      <c r="B6" s="32">
        <f>-15000000</f>
        <v>-15000000</v>
      </c>
      <c r="C6" s="33" t="s">
        <v>22</v>
      </c>
      <c r="D6" s="34" t="s">
        <v>23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9.14"/>
    <col customWidth="1" min="3" max="3" width="19.71"/>
    <col customWidth="1" min="4" max="4" width="18.29"/>
    <col customWidth="1" min="5" max="5" width="18.14"/>
    <col customWidth="1" min="6" max="6" width="16.29"/>
    <col customWidth="1" min="7" max="7" width="14.86"/>
    <col customWidth="1" min="8" max="8" width="14.71"/>
    <col customWidth="1" min="9" max="9" width="10.57"/>
    <col customWidth="1" min="10" max="26" width="8.71"/>
  </cols>
  <sheetData>
    <row r="1" ht="12.75" customHeight="1">
      <c r="B1" s="22"/>
      <c r="E1" s="11"/>
      <c r="F1" s="35" t="s">
        <v>6</v>
      </c>
      <c r="G1" s="36" t="s">
        <v>7</v>
      </c>
      <c r="H1" s="36" t="s">
        <v>8</v>
      </c>
      <c r="I1" s="36" t="s">
        <v>24</v>
      </c>
    </row>
    <row r="2" ht="12.75" customHeight="1">
      <c r="B2" s="11"/>
      <c r="E2" s="11"/>
      <c r="F2" s="35" t="s">
        <v>25</v>
      </c>
      <c r="G2" s="37">
        <v>66087.0</v>
      </c>
      <c r="H2" s="38" t="s">
        <v>26</v>
      </c>
      <c r="I2" s="38" t="s">
        <v>27</v>
      </c>
    </row>
    <row r="3" ht="12.75" customHeight="1">
      <c r="B3" s="39"/>
      <c r="E3" s="11"/>
      <c r="F3" s="35" t="s">
        <v>28</v>
      </c>
      <c r="G3" s="40">
        <v>0.018</v>
      </c>
      <c r="H3" s="38" t="s">
        <v>29</v>
      </c>
      <c r="I3" s="38" t="s">
        <v>30</v>
      </c>
    </row>
    <row r="4" ht="12.75" customHeight="1">
      <c r="A4" s="6"/>
      <c r="B4" s="22"/>
      <c r="C4" s="6"/>
      <c r="D4" s="6"/>
      <c r="E4" s="11"/>
      <c r="F4" s="41" t="s">
        <v>31</v>
      </c>
      <c r="G4" s="42">
        <v>77.69</v>
      </c>
      <c r="H4" s="43" t="s">
        <v>32</v>
      </c>
      <c r="I4" s="38" t="s">
        <v>33</v>
      </c>
    </row>
    <row r="5" ht="12.75" customHeight="1">
      <c r="A5" s="44" t="s">
        <v>5</v>
      </c>
      <c r="B5" s="45" t="s">
        <v>0</v>
      </c>
      <c r="C5" s="46" t="s">
        <v>34</v>
      </c>
      <c r="D5" s="46" t="s">
        <v>35</v>
      </c>
      <c r="E5" s="46" t="s">
        <v>36</v>
      </c>
      <c r="F5" s="47" t="s">
        <v>37</v>
      </c>
      <c r="G5" s="48" t="s">
        <v>38</v>
      </c>
      <c r="H5" s="48" t="s">
        <v>39</v>
      </c>
      <c r="I5" s="48" t="s">
        <v>40</v>
      </c>
      <c r="J5" s="48" t="s">
        <v>41</v>
      </c>
    </row>
    <row r="6" ht="12.75" customHeight="1">
      <c r="A6" s="49">
        <f>1</f>
        <v>1</v>
      </c>
      <c r="B6" s="50" t="s">
        <v>42</v>
      </c>
      <c r="C6" s="51">
        <v>54178.0</v>
      </c>
      <c r="D6" s="51">
        <v>581.0</v>
      </c>
      <c r="E6" s="28"/>
      <c r="F6" s="52"/>
      <c r="G6" s="28">
        <f t="shared" ref="G6:G449" si="2">IF(A6&lt;=84, C6, E6)</f>
        <v>54178</v>
      </c>
      <c r="H6" s="28">
        <f t="shared" ref="H6:H449" si="3">IF(A6&lt;=84, D6, F6)</f>
        <v>581</v>
      </c>
      <c r="I6" s="11">
        <f t="shared" ref="I6:J6" si="1">SUM(G6:G449)</f>
        <v>3710711.861</v>
      </c>
      <c r="J6" s="11">
        <f t="shared" si="1"/>
        <v>50392.65196</v>
      </c>
    </row>
    <row r="7" ht="12.75" customHeight="1">
      <c r="A7" s="49">
        <f t="shared" ref="A7:A449" si="4">A6+1</f>
        <v>2</v>
      </c>
      <c r="B7" s="50" t="s">
        <v>43</v>
      </c>
      <c r="C7" s="51">
        <v>48959.0</v>
      </c>
      <c r="D7" s="51">
        <v>445.0</v>
      </c>
      <c r="E7" s="28"/>
      <c r="F7" s="52"/>
      <c r="G7" s="28">
        <f t="shared" si="2"/>
        <v>48959</v>
      </c>
      <c r="H7" s="28">
        <f t="shared" si="3"/>
        <v>445</v>
      </c>
    </row>
    <row r="8" ht="12.75" customHeight="1">
      <c r="A8" s="49">
        <f t="shared" si="4"/>
        <v>3</v>
      </c>
      <c r="B8" s="50" t="s">
        <v>44</v>
      </c>
      <c r="C8" s="51">
        <v>54378.0</v>
      </c>
      <c r="D8" s="51">
        <v>442.0</v>
      </c>
      <c r="E8" s="28"/>
      <c r="F8" s="52"/>
      <c r="G8" s="28">
        <f t="shared" si="2"/>
        <v>54378</v>
      </c>
      <c r="H8" s="28">
        <f t="shared" si="3"/>
        <v>442</v>
      </c>
    </row>
    <row r="9" ht="12.75" customHeight="1">
      <c r="A9" s="49">
        <f t="shared" si="4"/>
        <v>4</v>
      </c>
      <c r="B9" s="50" t="s">
        <v>45</v>
      </c>
      <c r="C9" s="51">
        <v>51098.0</v>
      </c>
      <c r="D9" s="51">
        <v>364.0</v>
      </c>
      <c r="E9" s="28"/>
      <c r="F9" s="52"/>
      <c r="G9" s="28">
        <f t="shared" si="2"/>
        <v>51098</v>
      </c>
      <c r="H9" s="28">
        <f t="shared" si="3"/>
        <v>364</v>
      </c>
    </row>
    <row r="10" ht="12.75" customHeight="1">
      <c r="A10" s="49">
        <f t="shared" si="4"/>
        <v>5</v>
      </c>
      <c r="B10" s="50" t="s">
        <v>46</v>
      </c>
      <c r="C10" s="51">
        <v>52736.0</v>
      </c>
      <c r="D10" s="51">
        <v>415.0</v>
      </c>
      <c r="E10" s="28"/>
      <c r="F10" s="52"/>
      <c r="G10" s="28">
        <f t="shared" si="2"/>
        <v>52736</v>
      </c>
      <c r="H10" s="28">
        <f t="shared" si="3"/>
        <v>415</v>
      </c>
    </row>
    <row r="11" ht="12.75" customHeight="1">
      <c r="A11" s="49">
        <f t="shared" si="4"/>
        <v>6</v>
      </c>
      <c r="B11" s="50" t="s">
        <v>47</v>
      </c>
      <c r="C11" s="51">
        <v>47572.0</v>
      </c>
      <c r="D11" s="51">
        <v>364.0</v>
      </c>
      <c r="E11" s="28"/>
      <c r="F11" s="52"/>
      <c r="G11" s="28">
        <f t="shared" si="2"/>
        <v>47572</v>
      </c>
      <c r="H11" s="28">
        <f t="shared" si="3"/>
        <v>364</v>
      </c>
    </row>
    <row r="12" ht="12.75" customHeight="1">
      <c r="A12" s="49">
        <f t="shared" si="4"/>
        <v>7</v>
      </c>
      <c r="B12" s="50" t="s">
        <v>48</v>
      </c>
      <c r="C12" s="51">
        <v>53651.0</v>
      </c>
      <c r="D12" s="51">
        <v>475.0</v>
      </c>
      <c r="E12" s="28"/>
      <c r="F12" s="52"/>
      <c r="G12" s="28">
        <f t="shared" si="2"/>
        <v>53651</v>
      </c>
      <c r="H12" s="28">
        <f t="shared" si="3"/>
        <v>475</v>
      </c>
    </row>
    <row r="13" ht="12.75" customHeight="1">
      <c r="A13" s="49">
        <f t="shared" si="4"/>
        <v>8</v>
      </c>
      <c r="B13" s="50" t="s">
        <v>49</v>
      </c>
      <c r="C13" s="51">
        <v>56592.0</v>
      </c>
      <c r="D13" s="51">
        <v>518.0</v>
      </c>
      <c r="E13" s="28"/>
      <c r="F13" s="52"/>
      <c r="G13" s="28">
        <f t="shared" si="2"/>
        <v>56592</v>
      </c>
      <c r="H13" s="28">
        <f t="shared" si="3"/>
        <v>518</v>
      </c>
    </row>
    <row r="14" ht="12.75" customHeight="1">
      <c r="A14" s="49">
        <f t="shared" si="4"/>
        <v>9</v>
      </c>
      <c r="B14" s="50" t="s">
        <v>50</v>
      </c>
      <c r="C14" s="51">
        <v>55583.0</v>
      </c>
      <c r="D14" s="51">
        <v>498.0</v>
      </c>
      <c r="E14" s="28"/>
      <c r="F14" s="52"/>
      <c r="G14" s="28">
        <f t="shared" si="2"/>
        <v>55583</v>
      </c>
      <c r="H14" s="28">
        <f t="shared" si="3"/>
        <v>498</v>
      </c>
    </row>
    <row r="15" ht="12.75" customHeight="1">
      <c r="A15" s="49">
        <f t="shared" si="4"/>
        <v>10</v>
      </c>
      <c r="B15" s="50" t="s">
        <v>51</v>
      </c>
      <c r="C15" s="51">
        <v>56566.0</v>
      </c>
      <c r="D15" s="51">
        <v>825.0</v>
      </c>
      <c r="E15" s="28"/>
      <c r="F15" s="52"/>
      <c r="G15" s="28">
        <f t="shared" si="2"/>
        <v>56566</v>
      </c>
      <c r="H15" s="28">
        <f t="shared" si="3"/>
        <v>825</v>
      </c>
    </row>
    <row r="16" ht="12.75" customHeight="1">
      <c r="A16" s="49">
        <f t="shared" si="4"/>
        <v>11</v>
      </c>
      <c r="B16" s="50" t="s">
        <v>52</v>
      </c>
      <c r="C16" s="51">
        <v>53657.0</v>
      </c>
      <c r="D16" s="51">
        <v>590.0</v>
      </c>
      <c r="E16" s="28"/>
      <c r="F16" s="52"/>
      <c r="G16" s="28">
        <f t="shared" si="2"/>
        <v>53657</v>
      </c>
      <c r="H16" s="28">
        <f t="shared" si="3"/>
        <v>590</v>
      </c>
    </row>
    <row r="17" ht="12.75" customHeight="1">
      <c r="A17" s="49">
        <f t="shared" si="4"/>
        <v>12</v>
      </c>
      <c r="B17" s="50" t="s">
        <v>53</v>
      </c>
      <c r="C17" s="51">
        <v>46971.0</v>
      </c>
      <c r="D17" s="51">
        <v>1171.0</v>
      </c>
      <c r="E17" s="28"/>
      <c r="F17" s="52"/>
      <c r="G17" s="28">
        <f t="shared" si="2"/>
        <v>46971</v>
      </c>
      <c r="H17" s="28">
        <f t="shared" si="3"/>
        <v>1171</v>
      </c>
    </row>
    <row r="18" ht="12.75" customHeight="1">
      <c r="A18" s="49">
        <f t="shared" si="4"/>
        <v>13</v>
      </c>
      <c r="B18" s="50" t="s">
        <v>54</v>
      </c>
      <c r="C18" s="51">
        <v>54650.0</v>
      </c>
      <c r="D18" s="51">
        <v>741.0</v>
      </c>
      <c r="E18" s="28"/>
      <c r="F18" s="52"/>
      <c r="G18" s="28">
        <f t="shared" si="2"/>
        <v>54650</v>
      </c>
      <c r="H18" s="28">
        <f t="shared" si="3"/>
        <v>741</v>
      </c>
    </row>
    <row r="19" ht="12.75" customHeight="1">
      <c r="A19" s="49">
        <f t="shared" si="4"/>
        <v>14</v>
      </c>
      <c r="B19" s="50" t="s">
        <v>55</v>
      </c>
      <c r="C19" s="51">
        <v>48294.0</v>
      </c>
      <c r="D19" s="51">
        <v>689.0</v>
      </c>
      <c r="E19" s="28"/>
      <c r="F19" s="52"/>
      <c r="G19" s="28">
        <f t="shared" si="2"/>
        <v>48294</v>
      </c>
      <c r="H19" s="28">
        <f t="shared" si="3"/>
        <v>689</v>
      </c>
    </row>
    <row r="20" ht="12.75" customHeight="1">
      <c r="A20" s="49">
        <f t="shared" si="4"/>
        <v>15</v>
      </c>
      <c r="B20" s="50" t="s">
        <v>56</v>
      </c>
      <c r="C20" s="51">
        <v>55288.0</v>
      </c>
      <c r="D20" s="51">
        <v>708.0</v>
      </c>
      <c r="E20" s="28"/>
      <c r="F20" s="52"/>
      <c r="G20" s="28">
        <f t="shared" si="2"/>
        <v>55288</v>
      </c>
      <c r="H20" s="28">
        <f t="shared" si="3"/>
        <v>708</v>
      </c>
    </row>
    <row r="21" ht="12.75" customHeight="1">
      <c r="A21" s="49">
        <f t="shared" si="4"/>
        <v>16</v>
      </c>
      <c r="B21" s="50" t="s">
        <v>57</v>
      </c>
      <c r="C21" s="51">
        <v>49534.0</v>
      </c>
      <c r="D21" s="51">
        <v>644.0</v>
      </c>
      <c r="E21" s="28"/>
      <c r="F21" s="52"/>
      <c r="G21" s="28">
        <f t="shared" si="2"/>
        <v>49534</v>
      </c>
      <c r="H21" s="28">
        <f t="shared" si="3"/>
        <v>644</v>
      </c>
    </row>
    <row r="22" ht="12.75" customHeight="1">
      <c r="A22" s="49">
        <f t="shared" si="4"/>
        <v>17</v>
      </c>
      <c r="B22" s="50" t="s">
        <v>58</v>
      </c>
      <c r="C22" s="51">
        <v>51012.0</v>
      </c>
      <c r="D22" s="51">
        <v>594.0</v>
      </c>
      <c r="E22" s="28"/>
      <c r="F22" s="52"/>
      <c r="G22" s="28">
        <f t="shared" si="2"/>
        <v>51012</v>
      </c>
      <c r="H22" s="28">
        <f t="shared" si="3"/>
        <v>594</v>
      </c>
    </row>
    <row r="23" ht="12.75" customHeight="1">
      <c r="A23" s="49">
        <f t="shared" si="4"/>
        <v>18</v>
      </c>
      <c r="B23" s="50" t="s">
        <v>59</v>
      </c>
      <c r="C23" s="51">
        <v>49473.0</v>
      </c>
      <c r="D23" s="51">
        <v>426.0</v>
      </c>
      <c r="E23" s="28"/>
      <c r="F23" s="52"/>
      <c r="G23" s="28">
        <f t="shared" si="2"/>
        <v>49473</v>
      </c>
      <c r="H23" s="28">
        <f t="shared" si="3"/>
        <v>426</v>
      </c>
    </row>
    <row r="24" ht="12.75" customHeight="1">
      <c r="A24" s="49">
        <f t="shared" si="4"/>
        <v>19</v>
      </c>
      <c r="B24" s="50" t="s">
        <v>60</v>
      </c>
      <c r="C24" s="51">
        <v>52823.0</v>
      </c>
      <c r="D24" s="51">
        <v>437.0</v>
      </c>
      <c r="E24" s="28"/>
      <c r="F24" s="52"/>
      <c r="G24" s="28">
        <f t="shared" si="2"/>
        <v>52823</v>
      </c>
      <c r="H24" s="28">
        <f t="shared" si="3"/>
        <v>437</v>
      </c>
    </row>
    <row r="25" ht="12.75" customHeight="1">
      <c r="A25" s="49">
        <f t="shared" si="4"/>
        <v>20</v>
      </c>
      <c r="B25" s="50" t="s">
        <v>61</v>
      </c>
      <c r="C25" s="51">
        <v>52750.0</v>
      </c>
      <c r="D25" s="51">
        <v>503.0</v>
      </c>
      <c r="E25" s="28"/>
      <c r="F25" s="52"/>
      <c r="G25" s="28">
        <f t="shared" si="2"/>
        <v>52750</v>
      </c>
      <c r="H25" s="28">
        <f t="shared" si="3"/>
        <v>503</v>
      </c>
    </row>
    <row r="26" ht="12.75" customHeight="1">
      <c r="A26" s="49">
        <f t="shared" si="4"/>
        <v>21</v>
      </c>
      <c r="B26" s="50" t="s">
        <v>62</v>
      </c>
      <c r="C26" s="51">
        <v>51800.0</v>
      </c>
      <c r="D26" s="51">
        <v>383.0</v>
      </c>
      <c r="E26" s="28"/>
      <c r="F26" s="52"/>
      <c r="G26" s="28">
        <f t="shared" si="2"/>
        <v>51800</v>
      </c>
      <c r="H26" s="28">
        <f t="shared" si="3"/>
        <v>383</v>
      </c>
    </row>
    <row r="27" ht="12.75" customHeight="1">
      <c r="A27" s="49">
        <f t="shared" si="4"/>
        <v>22</v>
      </c>
      <c r="B27" s="50" t="s">
        <v>63</v>
      </c>
      <c r="C27" s="51">
        <v>52972.0</v>
      </c>
      <c r="D27" s="51">
        <v>492.0</v>
      </c>
      <c r="E27" s="28"/>
      <c r="F27" s="52"/>
      <c r="G27" s="28">
        <f t="shared" si="2"/>
        <v>52972</v>
      </c>
      <c r="H27" s="28">
        <f t="shared" si="3"/>
        <v>492</v>
      </c>
    </row>
    <row r="28" ht="12.75" customHeight="1">
      <c r="A28" s="49">
        <f t="shared" si="4"/>
        <v>23</v>
      </c>
      <c r="B28" s="50" t="s">
        <v>64</v>
      </c>
      <c r="C28" s="51">
        <v>53906.0</v>
      </c>
      <c r="D28" s="51">
        <v>442.0</v>
      </c>
      <c r="E28" s="28"/>
      <c r="F28" s="52"/>
      <c r="G28" s="28">
        <f t="shared" si="2"/>
        <v>53906</v>
      </c>
      <c r="H28" s="28">
        <f t="shared" si="3"/>
        <v>442</v>
      </c>
    </row>
    <row r="29" ht="12.75" customHeight="1">
      <c r="A29" s="49">
        <f t="shared" si="4"/>
        <v>24</v>
      </c>
      <c r="B29" s="50" t="s">
        <v>65</v>
      </c>
      <c r="C29" s="51">
        <v>54726.0</v>
      </c>
      <c r="D29" s="51">
        <v>535.0</v>
      </c>
      <c r="E29" s="28"/>
      <c r="F29" s="52"/>
      <c r="G29" s="28">
        <f t="shared" si="2"/>
        <v>54726</v>
      </c>
      <c r="H29" s="28">
        <f t="shared" si="3"/>
        <v>535</v>
      </c>
    </row>
    <row r="30" ht="12.75" customHeight="1">
      <c r="A30" s="49">
        <f t="shared" si="4"/>
        <v>25</v>
      </c>
      <c r="B30" s="50" t="s">
        <v>66</v>
      </c>
      <c r="C30" s="51">
        <v>53710.0</v>
      </c>
      <c r="D30" s="51">
        <v>428.0</v>
      </c>
      <c r="E30" s="28"/>
      <c r="F30" s="52"/>
      <c r="G30" s="28">
        <f t="shared" si="2"/>
        <v>53710</v>
      </c>
      <c r="H30" s="28">
        <f t="shared" si="3"/>
        <v>428</v>
      </c>
    </row>
    <row r="31" ht="12.75" customHeight="1">
      <c r="A31" s="49">
        <f t="shared" si="4"/>
        <v>26</v>
      </c>
      <c r="B31" s="50" t="s">
        <v>67</v>
      </c>
      <c r="C31" s="51">
        <v>49090.0</v>
      </c>
      <c r="D31" s="51">
        <v>404.0</v>
      </c>
      <c r="E31" s="28"/>
      <c r="F31" s="52"/>
      <c r="G31" s="28">
        <f t="shared" si="2"/>
        <v>49090</v>
      </c>
      <c r="H31" s="28">
        <f t="shared" si="3"/>
        <v>404</v>
      </c>
    </row>
    <row r="32" ht="12.75" customHeight="1">
      <c r="A32" s="49">
        <f t="shared" si="4"/>
        <v>27</v>
      </c>
      <c r="B32" s="50" t="s">
        <v>68</v>
      </c>
      <c r="C32" s="51">
        <v>57682.0</v>
      </c>
      <c r="D32" s="51">
        <v>671.0</v>
      </c>
      <c r="E32" s="28"/>
      <c r="F32" s="52"/>
      <c r="G32" s="28">
        <f t="shared" si="2"/>
        <v>57682</v>
      </c>
      <c r="H32" s="28">
        <f t="shared" si="3"/>
        <v>671</v>
      </c>
    </row>
    <row r="33" ht="12.75" customHeight="1">
      <c r="A33" s="49">
        <f t="shared" si="4"/>
        <v>28</v>
      </c>
      <c r="B33" s="50" t="s">
        <v>69</v>
      </c>
      <c r="C33" s="51">
        <v>51954.0</v>
      </c>
      <c r="D33" s="51">
        <v>497.0</v>
      </c>
      <c r="E33" s="28"/>
      <c r="F33" s="52"/>
      <c r="G33" s="28">
        <f t="shared" si="2"/>
        <v>51954</v>
      </c>
      <c r="H33" s="28">
        <f t="shared" si="3"/>
        <v>497</v>
      </c>
    </row>
    <row r="34" ht="12.75" customHeight="1">
      <c r="A34" s="49">
        <f t="shared" si="4"/>
        <v>29</v>
      </c>
      <c r="B34" s="50" t="s">
        <v>70</v>
      </c>
      <c r="C34" s="51">
        <v>57929.0</v>
      </c>
      <c r="D34" s="51">
        <v>422.0</v>
      </c>
      <c r="E34" s="28"/>
      <c r="F34" s="52"/>
      <c r="G34" s="28">
        <f t="shared" si="2"/>
        <v>57929</v>
      </c>
      <c r="H34" s="28">
        <f t="shared" si="3"/>
        <v>422</v>
      </c>
    </row>
    <row r="35" ht="12.75" customHeight="1">
      <c r="A35" s="49">
        <f t="shared" si="4"/>
        <v>30</v>
      </c>
      <c r="B35" s="50" t="s">
        <v>71</v>
      </c>
      <c r="C35" s="51">
        <v>52026.0</v>
      </c>
      <c r="D35" s="51">
        <v>554.0</v>
      </c>
      <c r="E35" s="28"/>
      <c r="F35" s="52"/>
      <c r="G35" s="28">
        <f t="shared" si="2"/>
        <v>52026</v>
      </c>
      <c r="H35" s="28">
        <f t="shared" si="3"/>
        <v>554</v>
      </c>
    </row>
    <row r="36" ht="12.75" customHeight="1">
      <c r="A36" s="49">
        <f t="shared" si="4"/>
        <v>31</v>
      </c>
      <c r="B36" s="50" t="s">
        <v>72</v>
      </c>
      <c r="C36" s="51">
        <v>49260.0</v>
      </c>
      <c r="D36" s="51">
        <v>435.0</v>
      </c>
      <c r="E36" s="28"/>
      <c r="F36" s="52"/>
      <c r="G36" s="28">
        <f t="shared" si="2"/>
        <v>49260</v>
      </c>
      <c r="H36" s="28">
        <f t="shared" si="3"/>
        <v>435</v>
      </c>
    </row>
    <row r="37" ht="12.75" customHeight="1">
      <c r="A37" s="49">
        <f t="shared" si="4"/>
        <v>32</v>
      </c>
      <c r="B37" s="50" t="s">
        <v>73</v>
      </c>
      <c r="C37" s="51">
        <v>47999.0</v>
      </c>
      <c r="D37" s="51">
        <v>503.0</v>
      </c>
      <c r="E37" s="28"/>
      <c r="F37" s="52"/>
      <c r="G37" s="28">
        <f t="shared" si="2"/>
        <v>47999</v>
      </c>
      <c r="H37" s="28">
        <f t="shared" si="3"/>
        <v>503</v>
      </c>
    </row>
    <row r="38" ht="12.75" customHeight="1">
      <c r="A38" s="49">
        <f t="shared" si="4"/>
        <v>33</v>
      </c>
      <c r="B38" s="50" t="s">
        <v>74</v>
      </c>
      <c r="C38" s="51">
        <v>40889.0</v>
      </c>
      <c r="D38" s="51">
        <v>457.0</v>
      </c>
      <c r="E38" s="28"/>
      <c r="F38" s="52"/>
      <c r="G38" s="28">
        <f t="shared" si="2"/>
        <v>40889</v>
      </c>
      <c r="H38" s="28">
        <f t="shared" si="3"/>
        <v>457</v>
      </c>
    </row>
    <row r="39" ht="12.75" customHeight="1">
      <c r="A39" s="49">
        <f t="shared" si="4"/>
        <v>34</v>
      </c>
      <c r="B39" s="50" t="s">
        <v>75</v>
      </c>
      <c r="C39" s="51">
        <v>29559.0</v>
      </c>
      <c r="D39" s="51">
        <v>326.0</v>
      </c>
      <c r="E39" s="28"/>
      <c r="F39" s="52"/>
      <c r="G39" s="28">
        <f t="shared" si="2"/>
        <v>29559</v>
      </c>
      <c r="H39" s="28">
        <f t="shared" si="3"/>
        <v>326</v>
      </c>
    </row>
    <row r="40" ht="12.75" customHeight="1">
      <c r="A40" s="49">
        <f t="shared" si="4"/>
        <v>35</v>
      </c>
      <c r="B40" s="50" t="s">
        <v>76</v>
      </c>
      <c r="C40" s="51">
        <v>25965.0</v>
      </c>
      <c r="D40" s="51">
        <v>257.0</v>
      </c>
      <c r="E40" s="28"/>
      <c r="F40" s="52"/>
      <c r="G40" s="28">
        <f t="shared" si="2"/>
        <v>25965</v>
      </c>
      <c r="H40" s="28">
        <f t="shared" si="3"/>
        <v>257</v>
      </c>
    </row>
    <row r="41" ht="12.75" customHeight="1">
      <c r="A41" s="49">
        <f t="shared" si="4"/>
        <v>36</v>
      </c>
      <c r="B41" s="50" t="s">
        <v>77</v>
      </c>
      <c r="C41" s="51">
        <v>49752.0</v>
      </c>
      <c r="D41" s="51">
        <v>1117.0</v>
      </c>
      <c r="E41" s="28"/>
      <c r="F41" s="52"/>
      <c r="G41" s="28">
        <f t="shared" si="2"/>
        <v>49752</v>
      </c>
      <c r="H41" s="28">
        <f t="shared" si="3"/>
        <v>1117</v>
      </c>
    </row>
    <row r="42" ht="12.75" customHeight="1">
      <c r="A42" s="49">
        <f t="shared" si="4"/>
        <v>37</v>
      </c>
      <c r="B42" s="50" t="s">
        <v>78</v>
      </c>
      <c r="C42" s="51">
        <v>25172.0</v>
      </c>
      <c r="D42" s="51">
        <v>298.0</v>
      </c>
      <c r="E42" s="28"/>
      <c r="F42" s="52"/>
      <c r="G42" s="28">
        <f t="shared" si="2"/>
        <v>25172</v>
      </c>
      <c r="H42" s="28">
        <f t="shared" si="3"/>
        <v>298</v>
      </c>
    </row>
    <row r="43" ht="12.75" customHeight="1">
      <c r="A43" s="49">
        <f t="shared" si="4"/>
        <v>38</v>
      </c>
      <c r="B43" s="50" t="s">
        <v>79</v>
      </c>
      <c r="C43" s="51">
        <v>13673.0</v>
      </c>
      <c r="D43" s="51">
        <v>146.0</v>
      </c>
      <c r="E43" s="28"/>
      <c r="F43" s="52"/>
      <c r="G43" s="28">
        <f t="shared" si="2"/>
        <v>13673</v>
      </c>
      <c r="H43" s="28">
        <f t="shared" si="3"/>
        <v>146</v>
      </c>
    </row>
    <row r="44" ht="12.75" customHeight="1">
      <c r="A44" s="49">
        <f t="shared" si="4"/>
        <v>39</v>
      </c>
      <c r="B44" s="50" t="s">
        <v>80</v>
      </c>
      <c r="C44" s="51">
        <v>30310.0</v>
      </c>
      <c r="D44" s="51">
        <v>347.0</v>
      </c>
      <c r="E44" s="28"/>
      <c r="F44" s="52"/>
      <c r="G44" s="28">
        <f t="shared" si="2"/>
        <v>30310</v>
      </c>
      <c r="H44" s="28">
        <f t="shared" si="3"/>
        <v>347</v>
      </c>
    </row>
    <row r="45" ht="12.75" customHeight="1">
      <c r="A45" s="49">
        <f t="shared" si="4"/>
        <v>40</v>
      </c>
      <c r="B45" s="50" t="s">
        <v>81</v>
      </c>
      <c r="C45" s="51">
        <v>29722.0</v>
      </c>
      <c r="D45" s="51">
        <v>341.0</v>
      </c>
      <c r="E45" s="28"/>
      <c r="F45" s="52"/>
      <c r="G45" s="28">
        <f t="shared" si="2"/>
        <v>29722</v>
      </c>
      <c r="H45" s="28">
        <f t="shared" si="3"/>
        <v>341</v>
      </c>
    </row>
    <row r="46" ht="12.75" customHeight="1">
      <c r="A46" s="49">
        <f t="shared" si="4"/>
        <v>41</v>
      </c>
      <c r="B46" s="50" t="s">
        <v>82</v>
      </c>
      <c r="C46" s="51">
        <v>28809.0</v>
      </c>
      <c r="D46" s="51">
        <v>378.0</v>
      </c>
      <c r="E46" s="28"/>
      <c r="F46" s="52"/>
      <c r="G46" s="28">
        <f t="shared" si="2"/>
        <v>28809</v>
      </c>
      <c r="H46" s="28">
        <f t="shared" si="3"/>
        <v>378</v>
      </c>
    </row>
    <row r="47" ht="12.75" customHeight="1">
      <c r="A47" s="49">
        <f t="shared" si="4"/>
        <v>42</v>
      </c>
      <c r="B47" s="50" t="s">
        <v>83</v>
      </c>
      <c r="C47" s="51">
        <v>26882.0</v>
      </c>
      <c r="D47" s="51">
        <v>512.0</v>
      </c>
      <c r="E47" s="28"/>
      <c r="F47" s="52"/>
      <c r="G47" s="28">
        <f t="shared" si="2"/>
        <v>26882</v>
      </c>
      <c r="H47" s="28">
        <f t="shared" si="3"/>
        <v>512</v>
      </c>
    </row>
    <row r="48" ht="12.75" customHeight="1">
      <c r="A48" s="49">
        <f t="shared" si="4"/>
        <v>43</v>
      </c>
      <c r="B48" s="50" t="s">
        <v>84</v>
      </c>
      <c r="C48" s="51">
        <v>30216.0</v>
      </c>
      <c r="D48" s="51">
        <v>657.0</v>
      </c>
      <c r="E48" s="28"/>
      <c r="F48" s="52"/>
      <c r="G48" s="28">
        <f t="shared" si="2"/>
        <v>30216</v>
      </c>
      <c r="H48" s="28">
        <f t="shared" si="3"/>
        <v>657</v>
      </c>
    </row>
    <row r="49" ht="12.75" customHeight="1">
      <c r="A49" s="49">
        <f t="shared" si="4"/>
        <v>44</v>
      </c>
      <c r="B49" s="50" t="s">
        <v>85</v>
      </c>
      <c r="C49" s="51">
        <v>28903.0</v>
      </c>
      <c r="D49" s="51">
        <v>471.0</v>
      </c>
      <c r="E49" s="28"/>
      <c r="F49" s="52"/>
      <c r="G49" s="28">
        <f t="shared" si="2"/>
        <v>28903</v>
      </c>
      <c r="H49" s="28">
        <f t="shared" si="3"/>
        <v>471</v>
      </c>
    </row>
    <row r="50" ht="12.75" customHeight="1">
      <c r="A50" s="49">
        <f t="shared" si="4"/>
        <v>45</v>
      </c>
      <c r="B50" s="50" t="s">
        <v>86</v>
      </c>
      <c r="C50" s="51">
        <v>29560.0</v>
      </c>
      <c r="D50" s="51">
        <v>432.0</v>
      </c>
      <c r="E50" s="28"/>
      <c r="F50" s="52"/>
      <c r="G50" s="28">
        <f t="shared" si="2"/>
        <v>29560</v>
      </c>
      <c r="H50" s="28">
        <f t="shared" si="3"/>
        <v>432</v>
      </c>
    </row>
    <row r="51" ht="12.75" customHeight="1">
      <c r="A51" s="49">
        <f t="shared" si="4"/>
        <v>46</v>
      </c>
      <c r="B51" s="50" t="s">
        <v>87</v>
      </c>
      <c r="C51" s="51">
        <v>28767.0</v>
      </c>
      <c r="D51" s="51">
        <v>438.0</v>
      </c>
      <c r="E51" s="28"/>
      <c r="F51" s="52"/>
      <c r="G51" s="28">
        <f t="shared" si="2"/>
        <v>28767</v>
      </c>
      <c r="H51" s="28">
        <f t="shared" si="3"/>
        <v>438</v>
      </c>
    </row>
    <row r="52" ht="12.75" customHeight="1">
      <c r="A52" s="49">
        <f t="shared" si="4"/>
        <v>47</v>
      </c>
      <c r="B52" s="50" t="s">
        <v>88</v>
      </c>
      <c r="C52" s="51">
        <v>23740.0</v>
      </c>
      <c r="D52" s="51">
        <v>425.0</v>
      </c>
      <c r="E52" s="28"/>
      <c r="F52" s="52"/>
      <c r="G52" s="28">
        <f t="shared" si="2"/>
        <v>23740</v>
      </c>
      <c r="H52" s="28">
        <f t="shared" si="3"/>
        <v>425</v>
      </c>
    </row>
    <row r="53" ht="12.75" customHeight="1">
      <c r="A53" s="49">
        <f t="shared" si="4"/>
        <v>48</v>
      </c>
      <c r="B53" s="50" t="s">
        <v>89</v>
      </c>
      <c r="C53" s="51">
        <v>24295.0</v>
      </c>
      <c r="D53" s="51">
        <v>364.0</v>
      </c>
      <c r="E53" s="28"/>
      <c r="F53" s="52"/>
      <c r="G53" s="28">
        <f t="shared" si="2"/>
        <v>24295</v>
      </c>
      <c r="H53" s="28">
        <f t="shared" si="3"/>
        <v>364</v>
      </c>
    </row>
    <row r="54" ht="12.75" customHeight="1">
      <c r="A54" s="49">
        <f t="shared" si="4"/>
        <v>49</v>
      </c>
      <c r="B54" s="50" t="s">
        <v>90</v>
      </c>
      <c r="C54" s="51">
        <v>27162.0</v>
      </c>
      <c r="D54" s="51">
        <v>383.0</v>
      </c>
      <c r="E54" s="28"/>
      <c r="F54" s="52"/>
      <c r="G54" s="28">
        <f t="shared" si="2"/>
        <v>27162</v>
      </c>
      <c r="H54" s="28">
        <f t="shared" si="3"/>
        <v>383</v>
      </c>
    </row>
    <row r="55" ht="12.75" customHeight="1">
      <c r="A55" s="49">
        <f t="shared" si="4"/>
        <v>50</v>
      </c>
      <c r="B55" s="50" t="s">
        <v>91</v>
      </c>
      <c r="C55" s="51">
        <v>17826.0</v>
      </c>
      <c r="D55" s="51">
        <v>452.0</v>
      </c>
      <c r="E55" s="28"/>
      <c r="F55" s="52"/>
      <c r="G55" s="28">
        <f t="shared" si="2"/>
        <v>17826</v>
      </c>
      <c r="H55" s="28">
        <f t="shared" si="3"/>
        <v>452</v>
      </c>
    </row>
    <row r="56" ht="12.75" customHeight="1">
      <c r="A56" s="49">
        <f t="shared" si="4"/>
        <v>51</v>
      </c>
      <c r="B56" s="50" t="s">
        <v>92</v>
      </c>
      <c r="C56" s="51">
        <v>21407.0</v>
      </c>
      <c r="D56" s="51">
        <v>328.0</v>
      </c>
      <c r="E56" s="28"/>
      <c r="F56" s="52"/>
      <c r="G56" s="28">
        <f t="shared" si="2"/>
        <v>21407</v>
      </c>
      <c r="H56" s="28">
        <f t="shared" si="3"/>
        <v>328</v>
      </c>
    </row>
    <row r="57" ht="12.75" customHeight="1">
      <c r="A57" s="49">
        <f t="shared" si="4"/>
        <v>52</v>
      </c>
      <c r="B57" s="50" t="s">
        <v>93</v>
      </c>
      <c r="C57" s="51">
        <v>26011.0</v>
      </c>
      <c r="D57" s="51">
        <v>506.0</v>
      </c>
      <c r="E57" s="28"/>
      <c r="F57" s="52"/>
      <c r="G57" s="28">
        <f t="shared" si="2"/>
        <v>26011</v>
      </c>
      <c r="H57" s="28">
        <f t="shared" si="3"/>
        <v>506</v>
      </c>
    </row>
    <row r="58" ht="12.75" customHeight="1">
      <c r="A58" s="49">
        <f t="shared" si="4"/>
        <v>53</v>
      </c>
      <c r="B58" s="50" t="s">
        <v>94</v>
      </c>
      <c r="C58" s="51">
        <v>33151.0</v>
      </c>
      <c r="D58" s="51">
        <v>791.0</v>
      </c>
      <c r="E58" s="28"/>
      <c r="F58" s="52"/>
      <c r="G58" s="28">
        <f t="shared" si="2"/>
        <v>33151</v>
      </c>
      <c r="H58" s="28">
        <f t="shared" si="3"/>
        <v>791</v>
      </c>
    </row>
    <row r="59" ht="12.75" customHeight="1">
      <c r="A59" s="49">
        <f t="shared" si="4"/>
        <v>54</v>
      </c>
      <c r="B59" s="50" t="s">
        <v>95</v>
      </c>
      <c r="C59" s="51">
        <v>28706.0</v>
      </c>
      <c r="D59" s="51">
        <v>539.0</v>
      </c>
      <c r="E59" s="28"/>
      <c r="F59" s="52"/>
      <c r="G59" s="28">
        <f t="shared" si="2"/>
        <v>28706</v>
      </c>
      <c r="H59" s="28">
        <f t="shared" si="3"/>
        <v>539</v>
      </c>
    </row>
    <row r="60" ht="12.75" customHeight="1">
      <c r="A60" s="49">
        <f t="shared" si="4"/>
        <v>55</v>
      </c>
      <c r="B60" s="50" t="s">
        <v>96</v>
      </c>
      <c r="C60" s="51">
        <v>22842.0</v>
      </c>
      <c r="D60" s="51">
        <v>743.0</v>
      </c>
      <c r="E60" s="28"/>
      <c r="F60" s="52"/>
      <c r="G60" s="28">
        <f t="shared" si="2"/>
        <v>22842</v>
      </c>
      <c r="H60" s="28">
        <f t="shared" si="3"/>
        <v>743</v>
      </c>
    </row>
    <row r="61" ht="12.75" customHeight="1">
      <c r="A61" s="49">
        <f t="shared" si="4"/>
        <v>56</v>
      </c>
      <c r="B61" s="50" t="s">
        <v>97</v>
      </c>
      <c r="C61" s="51">
        <v>26201.0</v>
      </c>
      <c r="D61" s="51">
        <v>1079.0</v>
      </c>
      <c r="E61" s="28"/>
      <c r="F61" s="52"/>
      <c r="G61" s="28">
        <f t="shared" si="2"/>
        <v>26201</v>
      </c>
      <c r="H61" s="28">
        <f t="shared" si="3"/>
        <v>1079</v>
      </c>
    </row>
    <row r="62" ht="12.75" customHeight="1">
      <c r="A62" s="49">
        <f t="shared" si="4"/>
        <v>57</v>
      </c>
      <c r="B62" s="50" t="s">
        <v>98</v>
      </c>
      <c r="C62" s="51">
        <v>20986.0</v>
      </c>
      <c r="D62" s="51">
        <v>634.0</v>
      </c>
      <c r="E62" s="28"/>
      <c r="F62" s="52"/>
      <c r="G62" s="28">
        <f t="shared" si="2"/>
        <v>20986</v>
      </c>
      <c r="H62" s="28">
        <f t="shared" si="3"/>
        <v>634</v>
      </c>
    </row>
    <row r="63" ht="12.75" customHeight="1">
      <c r="A63" s="49">
        <f t="shared" si="4"/>
        <v>58</v>
      </c>
      <c r="B63" s="50" t="s">
        <v>99</v>
      </c>
      <c r="C63" s="51">
        <v>21764.0</v>
      </c>
      <c r="D63" s="51">
        <v>497.0</v>
      </c>
      <c r="E63" s="28"/>
      <c r="F63" s="52"/>
      <c r="G63" s="28">
        <f t="shared" si="2"/>
        <v>21764</v>
      </c>
      <c r="H63" s="28">
        <f t="shared" si="3"/>
        <v>497</v>
      </c>
    </row>
    <row r="64" ht="12.75" customHeight="1">
      <c r="A64" s="49">
        <f t="shared" si="4"/>
        <v>59</v>
      </c>
      <c r="B64" s="50" t="s">
        <v>100</v>
      </c>
      <c r="C64" s="51">
        <v>23788.0</v>
      </c>
      <c r="D64" s="51">
        <v>383.0</v>
      </c>
      <c r="E64" s="28"/>
      <c r="F64" s="52"/>
      <c r="G64" s="28">
        <f t="shared" si="2"/>
        <v>23788</v>
      </c>
      <c r="H64" s="28">
        <f t="shared" si="3"/>
        <v>383</v>
      </c>
    </row>
    <row r="65" ht="12.75" customHeight="1">
      <c r="A65" s="49">
        <f t="shared" si="4"/>
        <v>60</v>
      </c>
      <c r="B65" s="50" t="s">
        <v>101</v>
      </c>
      <c r="C65" s="51">
        <v>19408.0</v>
      </c>
      <c r="D65" s="51">
        <v>359.0</v>
      </c>
      <c r="E65" s="28"/>
      <c r="F65" s="52"/>
      <c r="G65" s="28">
        <f t="shared" si="2"/>
        <v>19408</v>
      </c>
      <c r="H65" s="28">
        <f t="shared" si="3"/>
        <v>359</v>
      </c>
    </row>
    <row r="66" ht="12.75" customHeight="1">
      <c r="A66" s="49">
        <f t="shared" si="4"/>
        <v>61</v>
      </c>
      <c r="B66" s="50" t="s">
        <v>102</v>
      </c>
      <c r="C66" s="51">
        <v>20433.0</v>
      </c>
      <c r="D66" s="51">
        <v>300.0</v>
      </c>
      <c r="E66" s="28"/>
      <c r="F66" s="52"/>
      <c r="G66" s="28">
        <f t="shared" si="2"/>
        <v>20433</v>
      </c>
      <c r="H66" s="28">
        <f t="shared" si="3"/>
        <v>300</v>
      </c>
    </row>
    <row r="67" ht="12.75" customHeight="1">
      <c r="A67" s="49">
        <f t="shared" si="4"/>
        <v>62</v>
      </c>
      <c r="B67" s="50" t="s">
        <v>103</v>
      </c>
      <c r="C67" s="51">
        <v>14158.0</v>
      </c>
      <c r="D67" s="51">
        <v>97.0</v>
      </c>
      <c r="E67" s="28"/>
      <c r="F67" s="52"/>
      <c r="G67" s="28">
        <f t="shared" si="2"/>
        <v>14158</v>
      </c>
      <c r="H67" s="28">
        <f t="shared" si="3"/>
        <v>97</v>
      </c>
    </row>
    <row r="68" ht="12.75" customHeight="1">
      <c r="A68" s="49">
        <f t="shared" si="4"/>
        <v>63</v>
      </c>
      <c r="B68" s="50" t="s">
        <v>104</v>
      </c>
      <c r="C68" s="51">
        <v>19778.0</v>
      </c>
      <c r="D68" s="51">
        <v>261.0</v>
      </c>
      <c r="E68" s="28"/>
      <c r="F68" s="52"/>
      <c r="G68" s="28">
        <f t="shared" si="2"/>
        <v>19778</v>
      </c>
      <c r="H68" s="28">
        <f t="shared" si="3"/>
        <v>261</v>
      </c>
    </row>
    <row r="69" ht="12.75" customHeight="1">
      <c r="A69" s="49">
        <f t="shared" si="4"/>
        <v>64</v>
      </c>
      <c r="B69" s="50" t="s">
        <v>105</v>
      </c>
      <c r="C69" s="51">
        <v>16740.0</v>
      </c>
      <c r="D69" s="51">
        <v>389.0</v>
      </c>
      <c r="E69" s="28"/>
      <c r="F69" s="52"/>
      <c r="G69" s="28">
        <f t="shared" si="2"/>
        <v>16740</v>
      </c>
      <c r="H69" s="28">
        <f t="shared" si="3"/>
        <v>389</v>
      </c>
    </row>
    <row r="70" ht="12.75" customHeight="1">
      <c r="A70" s="49">
        <f t="shared" si="4"/>
        <v>65</v>
      </c>
      <c r="B70" s="50" t="s">
        <v>106</v>
      </c>
      <c r="C70" s="51">
        <v>23120.0</v>
      </c>
      <c r="D70" s="51">
        <v>412.0</v>
      </c>
      <c r="E70" s="28"/>
      <c r="F70" s="52"/>
      <c r="G70" s="28">
        <f t="shared" si="2"/>
        <v>23120</v>
      </c>
      <c r="H70" s="28">
        <f t="shared" si="3"/>
        <v>412</v>
      </c>
    </row>
    <row r="71" ht="12.75" customHeight="1">
      <c r="A71" s="49">
        <f t="shared" si="4"/>
        <v>66</v>
      </c>
      <c r="B71" s="50" t="s">
        <v>107</v>
      </c>
      <c r="C71" s="51">
        <v>30415.0</v>
      </c>
      <c r="D71" s="51">
        <v>375.0</v>
      </c>
      <c r="E71" s="28"/>
      <c r="F71" s="52"/>
      <c r="G71" s="28">
        <f t="shared" si="2"/>
        <v>30415</v>
      </c>
      <c r="H71" s="28">
        <f t="shared" si="3"/>
        <v>375</v>
      </c>
    </row>
    <row r="72" ht="12.75" customHeight="1">
      <c r="A72" s="49">
        <f t="shared" si="4"/>
        <v>67</v>
      </c>
      <c r="B72" s="50" t="s">
        <v>108</v>
      </c>
      <c r="C72" s="51">
        <v>36426.0</v>
      </c>
      <c r="D72" s="51">
        <v>956.0</v>
      </c>
      <c r="E72" s="28"/>
      <c r="F72" s="52"/>
      <c r="G72" s="28">
        <f t="shared" si="2"/>
        <v>36426</v>
      </c>
      <c r="H72" s="28">
        <f t="shared" si="3"/>
        <v>956</v>
      </c>
    </row>
    <row r="73" ht="12.75" customHeight="1">
      <c r="A73" s="49">
        <f t="shared" si="4"/>
        <v>68</v>
      </c>
      <c r="B73" s="50" t="s">
        <v>109</v>
      </c>
      <c r="C73" s="51">
        <v>31126.0</v>
      </c>
      <c r="D73" s="51">
        <v>923.0</v>
      </c>
      <c r="E73" s="28"/>
      <c r="F73" s="52"/>
      <c r="G73" s="28">
        <f t="shared" si="2"/>
        <v>31126</v>
      </c>
      <c r="H73" s="28">
        <f t="shared" si="3"/>
        <v>923</v>
      </c>
    </row>
    <row r="74" ht="12.75" customHeight="1">
      <c r="A74" s="49">
        <f t="shared" si="4"/>
        <v>69</v>
      </c>
      <c r="B74" s="50" t="s">
        <v>110</v>
      </c>
      <c r="C74" s="51">
        <v>30124.0</v>
      </c>
      <c r="D74" s="51">
        <v>645.0</v>
      </c>
      <c r="E74" s="28"/>
      <c r="F74" s="52"/>
      <c r="G74" s="28">
        <f t="shared" si="2"/>
        <v>30124</v>
      </c>
      <c r="H74" s="28">
        <f t="shared" si="3"/>
        <v>645</v>
      </c>
    </row>
    <row r="75" ht="12.75" customHeight="1">
      <c r="A75" s="49">
        <f t="shared" si="4"/>
        <v>70</v>
      </c>
      <c r="B75" s="50" t="s">
        <v>111</v>
      </c>
      <c r="C75" s="51">
        <v>30905.0</v>
      </c>
      <c r="D75" s="51">
        <v>284.0</v>
      </c>
      <c r="E75" s="28"/>
      <c r="F75" s="52"/>
      <c r="G75" s="28">
        <f t="shared" si="2"/>
        <v>30905</v>
      </c>
      <c r="H75" s="28">
        <f t="shared" si="3"/>
        <v>284</v>
      </c>
    </row>
    <row r="76" ht="12.75" customHeight="1">
      <c r="A76" s="49">
        <f t="shared" si="4"/>
        <v>71</v>
      </c>
      <c r="B76" s="50" t="s">
        <v>112</v>
      </c>
      <c r="C76" s="51">
        <v>5299.0</v>
      </c>
      <c r="D76" s="51">
        <v>152.0</v>
      </c>
      <c r="E76" s="28"/>
      <c r="F76" s="52"/>
      <c r="G76" s="28">
        <f t="shared" si="2"/>
        <v>5299</v>
      </c>
      <c r="H76" s="28">
        <f t="shared" si="3"/>
        <v>152</v>
      </c>
    </row>
    <row r="77" ht="12.75" customHeight="1">
      <c r="A77" s="49">
        <f t="shared" si="4"/>
        <v>72</v>
      </c>
      <c r="B77" s="50" t="s">
        <v>113</v>
      </c>
      <c r="C77" s="51">
        <v>12612.0</v>
      </c>
      <c r="D77" s="51">
        <v>121.0</v>
      </c>
      <c r="E77" s="28"/>
      <c r="F77" s="52"/>
      <c r="G77" s="28">
        <f t="shared" si="2"/>
        <v>12612</v>
      </c>
      <c r="H77" s="28">
        <f t="shared" si="3"/>
        <v>121</v>
      </c>
    </row>
    <row r="78" ht="12.75" customHeight="1">
      <c r="A78" s="49">
        <f t="shared" si="4"/>
        <v>73</v>
      </c>
      <c r="B78" s="50" t="s">
        <v>114</v>
      </c>
      <c r="C78" s="51">
        <v>19002.0</v>
      </c>
      <c r="D78" s="51">
        <v>580.0</v>
      </c>
      <c r="E78" s="28"/>
      <c r="F78" s="52"/>
      <c r="G78" s="28">
        <f t="shared" si="2"/>
        <v>19002</v>
      </c>
      <c r="H78" s="28">
        <f t="shared" si="3"/>
        <v>580</v>
      </c>
    </row>
    <row r="79" ht="12.75" customHeight="1">
      <c r="A79" s="49">
        <f t="shared" si="4"/>
        <v>74</v>
      </c>
      <c r="B79" s="50" t="s">
        <v>115</v>
      </c>
      <c r="C79" s="51">
        <v>25314.0</v>
      </c>
      <c r="D79" s="51">
        <v>325.0</v>
      </c>
      <c r="E79" s="28"/>
      <c r="F79" s="52"/>
      <c r="G79" s="28">
        <f t="shared" si="2"/>
        <v>25314</v>
      </c>
      <c r="H79" s="28">
        <f t="shared" si="3"/>
        <v>325</v>
      </c>
    </row>
    <row r="80" ht="12.75" customHeight="1">
      <c r="A80" s="49">
        <f t="shared" si="4"/>
        <v>75</v>
      </c>
      <c r="B80" s="50" t="s">
        <v>116</v>
      </c>
      <c r="C80" s="51">
        <v>23769.0</v>
      </c>
      <c r="D80" s="51">
        <v>387.0</v>
      </c>
      <c r="E80" s="28"/>
      <c r="F80" s="52"/>
      <c r="G80" s="28">
        <f t="shared" si="2"/>
        <v>23769</v>
      </c>
      <c r="H80" s="28">
        <f t="shared" si="3"/>
        <v>387</v>
      </c>
    </row>
    <row r="81" ht="12.75" customHeight="1">
      <c r="A81" s="49">
        <f t="shared" si="4"/>
        <v>76</v>
      </c>
      <c r="B81" s="50" t="s">
        <v>117</v>
      </c>
      <c r="C81" s="51">
        <v>17272.0</v>
      </c>
      <c r="D81" s="51">
        <v>323.0</v>
      </c>
      <c r="E81" s="28"/>
      <c r="F81" s="52"/>
      <c r="G81" s="28">
        <f t="shared" si="2"/>
        <v>17272</v>
      </c>
      <c r="H81" s="28">
        <f t="shared" si="3"/>
        <v>323</v>
      </c>
    </row>
    <row r="82" ht="12.75" customHeight="1">
      <c r="A82" s="49">
        <f t="shared" si="4"/>
        <v>77</v>
      </c>
      <c r="B82" s="50" t="s">
        <v>118</v>
      </c>
      <c r="C82" s="51">
        <v>10713.0</v>
      </c>
      <c r="D82" s="51">
        <v>273.0</v>
      </c>
      <c r="E82" s="28"/>
      <c r="F82" s="52"/>
      <c r="G82" s="28">
        <f t="shared" si="2"/>
        <v>10713</v>
      </c>
      <c r="H82" s="28">
        <f t="shared" si="3"/>
        <v>273</v>
      </c>
    </row>
    <row r="83" ht="12.75" customHeight="1">
      <c r="A83" s="49">
        <f t="shared" si="4"/>
        <v>78</v>
      </c>
      <c r="B83" s="50" t="s">
        <v>119</v>
      </c>
      <c r="C83" s="51">
        <v>11924.0</v>
      </c>
      <c r="D83" s="51">
        <v>497.0</v>
      </c>
      <c r="E83" s="28"/>
      <c r="F83" s="52"/>
      <c r="G83" s="28">
        <f t="shared" si="2"/>
        <v>11924</v>
      </c>
      <c r="H83" s="28">
        <f t="shared" si="3"/>
        <v>497</v>
      </c>
    </row>
    <row r="84" ht="12.75" customHeight="1">
      <c r="A84" s="49">
        <f t="shared" si="4"/>
        <v>79</v>
      </c>
      <c r="B84" s="50" t="s">
        <v>120</v>
      </c>
      <c r="C84" s="51">
        <v>13080.0</v>
      </c>
      <c r="D84" s="51">
        <v>553.0</v>
      </c>
      <c r="E84" s="28"/>
      <c r="F84" s="52"/>
      <c r="G84" s="28">
        <f t="shared" si="2"/>
        <v>13080</v>
      </c>
      <c r="H84" s="28">
        <f t="shared" si="3"/>
        <v>553</v>
      </c>
    </row>
    <row r="85" ht="12.75" customHeight="1">
      <c r="A85" s="49">
        <f t="shared" si="4"/>
        <v>80</v>
      </c>
      <c r="B85" s="50" t="s">
        <v>121</v>
      </c>
      <c r="C85" s="51">
        <v>19209.0</v>
      </c>
      <c r="D85" s="51">
        <v>352.0</v>
      </c>
      <c r="E85" s="28"/>
      <c r="F85" s="52"/>
      <c r="G85" s="28">
        <f t="shared" si="2"/>
        <v>19209</v>
      </c>
      <c r="H85" s="28">
        <f t="shared" si="3"/>
        <v>352</v>
      </c>
    </row>
    <row r="86" ht="12.75" customHeight="1">
      <c r="A86" s="49">
        <f t="shared" si="4"/>
        <v>81</v>
      </c>
      <c r="B86" s="50" t="s">
        <v>122</v>
      </c>
      <c r="C86" s="51">
        <v>15758.0</v>
      </c>
      <c r="D86" s="51">
        <v>222.0</v>
      </c>
      <c r="E86" s="28"/>
      <c r="F86" s="52"/>
      <c r="G86" s="28">
        <f t="shared" si="2"/>
        <v>15758</v>
      </c>
      <c r="H86" s="28">
        <f t="shared" si="3"/>
        <v>222</v>
      </c>
    </row>
    <row r="87" ht="12.75" customHeight="1">
      <c r="A87" s="49">
        <f t="shared" si="4"/>
        <v>82</v>
      </c>
      <c r="B87" s="50" t="s">
        <v>123</v>
      </c>
      <c r="C87" s="51">
        <v>20515.0</v>
      </c>
      <c r="D87" s="51">
        <v>331.0</v>
      </c>
      <c r="E87" s="28"/>
      <c r="F87" s="52"/>
      <c r="G87" s="28">
        <f t="shared" si="2"/>
        <v>20515</v>
      </c>
      <c r="H87" s="28">
        <f t="shared" si="3"/>
        <v>331</v>
      </c>
    </row>
    <row r="88" ht="12.75" customHeight="1">
      <c r="A88" s="49">
        <f t="shared" si="4"/>
        <v>83</v>
      </c>
      <c r="B88" s="50" t="s">
        <v>124</v>
      </c>
      <c r="C88" s="51">
        <v>14657.0</v>
      </c>
      <c r="D88" s="51">
        <v>252.0</v>
      </c>
      <c r="E88" s="28"/>
      <c r="F88" s="52"/>
      <c r="G88" s="28">
        <f t="shared" si="2"/>
        <v>14657</v>
      </c>
      <c r="H88" s="28">
        <f t="shared" si="3"/>
        <v>252</v>
      </c>
    </row>
    <row r="89" ht="12.75" customHeight="1">
      <c r="A89" s="49">
        <f t="shared" si="4"/>
        <v>84</v>
      </c>
      <c r="B89" s="50" t="s">
        <v>125</v>
      </c>
      <c r="C89" s="51">
        <v>13121.0</v>
      </c>
      <c r="D89" s="51">
        <v>217.0</v>
      </c>
      <c r="E89" s="28"/>
      <c r="F89" s="52"/>
      <c r="G89" s="28">
        <f t="shared" si="2"/>
        <v>13121</v>
      </c>
      <c r="H89" s="28">
        <f t="shared" si="3"/>
        <v>217</v>
      </c>
    </row>
    <row r="90" ht="12.75" customHeight="1">
      <c r="A90" s="49">
        <f t="shared" si="4"/>
        <v>85</v>
      </c>
      <c r="B90" s="50" t="s">
        <v>126</v>
      </c>
      <c r="C90" s="29"/>
      <c r="D90" s="53"/>
      <c r="E90" s="28">
        <f t="shared" ref="E90:E449" si="5">$G$2*EXP(-$G$3*(A90))</f>
        <v>14310.19265</v>
      </c>
      <c r="F90" s="52">
        <f t="shared" ref="F90:F449" si="6">E90/$G$4</f>
        <v>184.1960696</v>
      </c>
      <c r="G90" s="28">
        <f t="shared" si="2"/>
        <v>14310.19265</v>
      </c>
      <c r="H90" s="28">
        <f t="shared" si="3"/>
        <v>184.1960696</v>
      </c>
    </row>
    <row r="91" ht="12.75" customHeight="1">
      <c r="A91" s="49">
        <f t="shared" si="4"/>
        <v>86</v>
      </c>
      <c r="B91" s="50" t="s">
        <v>127</v>
      </c>
      <c r="C91" s="29"/>
      <c r="D91" s="53"/>
      <c r="E91" s="28">
        <f t="shared" si="5"/>
        <v>14054.91358</v>
      </c>
      <c r="F91" s="52">
        <f t="shared" si="6"/>
        <v>180.9102019</v>
      </c>
      <c r="G91" s="28">
        <f t="shared" si="2"/>
        <v>14054.91358</v>
      </c>
      <c r="H91" s="28">
        <f t="shared" si="3"/>
        <v>180.9102019</v>
      </c>
    </row>
    <row r="92" ht="12.75" customHeight="1">
      <c r="A92" s="49">
        <f t="shared" si="4"/>
        <v>87</v>
      </c>
      <c r="B92" s="50" t="s">
        <v>128</v>
      </c>
      <c r="C92" s="29"/>
      <c r="D92" s="53"/>
      <c r="E92" s="28">
        <f t="shared" si="5"/>
        <v>13804.18843</v>
      </c>
      <c r="F92" s="52">
        <f t="shared" si="6"/>
        <v>177.6829506</v>
      </c>
      <c r="G92" s="28">
        <f t="shared" si="2"/>
        <v>13804.18843</v>
      </c>
      <c r="H92" s="28">
        <f t="shared" si="3"/>
        <v>177.6829506</v>
      </c>
    </row>
    <row r="93" ht="12.75" customHeight="1">
      <c r="A93" s="49">
        <f t="shared" si="4"/>
        <v>88</v>
      </c>
      <c r="B93" s="50" t="s">
        <v>129</v>
      </c>
      <c r="C93" s="29"/>
      <c r="D93" s="53"/>
      <c r="E93" s="28">
        <f t="shared" si="5"/>
        <v>13557.93596</v>
      </c>
      <c r="F93" s="52">
        <f t="shared" si="6"/>
        <v>174.5132702</v>
      </c>
      <c r="G93" s="28">
        <f t="shared" si="2"/>
        <v>13557.93596</v>
      </c>
      <c r="H93" s="28">
        <f t="shared" si="3"/>
        <v>174.5132702</v>
      </c>
    </row>
    <row r="94" ht="12.75" customHeight="1">
      <c r="A94" s="49">
        <f t="shared" si="4"/>
        <v>89</v>
      </c>
      <c r="B94" s="50" t="s">
        <v>130</v>
      </c>
      <c r="C94" s="29"/>
      <c r="D94" s="53"/>
      <c r="E94" s="28">
        <f t="shared" si="5"/>
        <v>13316.07638</v>
      </c>
      <c r="F94" s="52">
        <f t="shared" si="6"/>
        <v>171.4001336</v>
      </c>
      <c r="G94" s="28">
        <f t="shared" si="2"/>
        <v>13316.07638</v>
      </c>
      <c r="H94" s="28">
        <f t="shared" si="3"/>
        <v>171.4001336</v>
      </c>
    </row>
    <row r="95" ht="12.75" customHeight="1">
      <c r="A95" s="49">
        <f t="shared" si="4"/>
        <v>90</v>
      </c>
      <c r="B95" s="50" t="s">
        <v>131</v>
      </c>
      <c r="C95" s="29"/>
      <c r="D95" s="53"/>
      <c r="E95" s="28">
        <f t="shared" si="5"/>
        <v>13078.53133</v>
      </c>
      <c r="F95" s="52">
        <f t="shared" si="6"/>
        <v>168.3425322</v>
      </c>
      <c r="G95" s="28">
        <f t="shared" si="2"/>
        <v>13078.53133</v>
      </c>
      <c r="H95" s="28">
        <f t="shared" si="3"/>
        <v>168.3425322</v>
      </c>
    </row>
    <row r="96" ht="12.75" customHeight="1">
      <c r="A96" s="49">
        <f t="shared" si="4"/>
        <v>91</v>
      </c>
      <c r="B96" s="50" t="s">
        <v>132</v>
      </c>
      <c r="C96" s="29"/>
      <c r="D96" s="53"/>
      <c r="E96" s="28">
        <f t="shared" si="5"/>
        <v>12845.22383</v>
      </c>
      <c r="F96" s="52">
        <f t="shared" si="6"/>
        <v>165.3394752</v>
      </c>
      <c r="G96" s="28">
        <f t="shared" si="2"/>
        <v>12845.22383</v>
      </c>
      <c r="H96" s="28">
        <f t="shared" si="3"/>
        <v>165.3394752</v>
      </c>
    </row>
    <row r="97" ht="12.75" customHeight="1">
      <c r="A97" s="49">
        <f t="shared" si="4"/>
        <v>92</v>
      </c>
      <c r="B97" s="50" t="s">
        <v>133</v>
      </c>
      <c r="C97" s="29"/>
      <c r="D97" s="53"/>
      <c r="E97" s="28">
        <f t="shared" si="5"/>
        <v>12616.0783</v>
      </c>
      <c r="F97" s="52">
        <f t="shared" si="6"/>
        <v>162.3899897</v>
      </c>
      <c r="G97" s="28">
        <f t="shared" si="2"/>
        <v>12616.0783</v>
      </c>
      <c r="H97" s="28">
        <f t="shared" si="3"/>
        <v>162.3899897</v>
      </c>
    </row>
    <row r="98" ht="12.75" customHeight="1">
      <c r="A98" s="49">
        <f t="shared" si="4"/>
        <v>93</v>
      </c>
      <c r="B98" s="50" t="s">
        <v>134</v>
      </c>
      <c r="C98" s="29"/>
      <c r="D98" s="53"/>
      <c r="E98" s="28">
        <f t="shared" si="5"/>
        <v>12391.02048</v>
      </c>
      <c r="F98" s="52">
        <f t="shared" si="6"/>
        <v>159.4931199</v>
      </c>
      <c r="G98" s="28">
        <f t="shared" si="2"/>
        <v>12391.02048</v>
      </c>
      <c r="H98" s="28">
        <f t="shared" si="3"/>
        <v>159.4931199</v>
      </c>
    </row>
    <row r="99" ht="12.75" customHeight="1">
      <c r="A99" s="49">
        <f t="shared" si="4"/>
        <v>94</v>
      </c>
      <c r="B99" s="50" t="s">
        <v>135</v>
      </c>
      <c r="C99" s="29"/>
      <c r="D99" s="53"/>
      <c r="E99" s="28">
        <f t="shared" si="5"/>
        <v>12169.97747</v>
      </c>
      <c r="F99" s="52">
        <f t="shared" si="6"/>
        <v>156.6479273</v>
      </c>
      <c r="G99" s="28">
        <f t="shared" si="2"/>
        <v>12169.97747</v>
      </c>
      <c r="H99" s="28">
        <f t="shared" si="3"/>
        <v>156.6479273</v>
      </c>
    </row>
    <row r="100" ht="12.75" customHeight="1">
      <c r="A100" s="49">
        <f t="shared" si="4"/>
        <v>95</v>
      </c>
      <c r="B100" s="50" t="s">
        <v>136</v>
      </c>
      <c r="C100" s="29"/>
      <c r="D100" s="53"/>
      <c r="E100" s="28">
        <f t="shared" si="5"/>
        <v>11952.87764</v>
      </c>
      <c r="F100" s="52">
        <f t="shared" si="6"/>
        <v>153.85349</v>
      </c>
      <c r="G100" s="28">
        <f t="shared" si="2"/>
        <v>11952.87764</v>
      </c>
      <c r="H100" s="28">
        <f t="shared" si="3"/>
        <v>153.85349</v>
      </c>
    </row>
    <row r="101" ht="12.75" customHeight="1">
      <c r="A101" s="49">
        <f t="shared" si="4"/>
        <v>96</v>
      </c>
      <c r="B101" s="50" t="s">
        <v>137</v>
      </c>
      <c r="C101" s="29"/>
      <c r="D101" s="53"/>
      <c r="E101" s="28">
        <f t="shared" si="5"/>
        <v>11739.65064</v>
      </c>
      <c r="F101" s="52">
        <f t="shared" si="6"/>
        <v>151.1089026</v>
      </c>
      <c r="G101" s="28">
        <f t="shared" si="2"/>
        <v>11739.65064</v>
      </c>
      <c r="H101" s="28">
        <f t="shared" si="3"/>
        <v>151.1089026</v>
      </c>
    </row>
    <row r="102" ht="12.75" customHeight="1">
      <c r="A102" s="49">
        <f t="shared" si="4"/>
        <v>97</v>
      </c>
      <c r="B102" s="50" t="s">
        <v>138</v>
      </c>
      <c r="C102" s="29"/>
      <c r="D102" s="53"/>
      <c r="E102" s="28">
        <f t="shared" si="5"/>
        <v>11530.22739</v>
      </c>
      <c r="F102" s="52">
        <f t="shared" si="6"/>
        <v>148.4132757</v>
      </c>
      <c r="G102" s="28">
        <f t="shared" si="2"/>
        <v>11530.22739</v>
      </c>
      <c r="H102" s="28">
        <f t="shared" si="3"/>
        <v>148.4132757</v>
      </c>
    </row>
    <row r="103" ht="12.75" customHeight="1">
      <c r="A103" s="49">
        <f t="shared" si="4"/>
        <v>98</v>
      </c>
      <c r="B103" s="50" t="s">
        <v>139</v>
      </c>
      <c r="C103" s="29"/>
      <c r="D103" s="53"/>
      <c r="E103" s="28">
        <f t="shared" si="5"/>
        <v>11324.54004</v>
      </c>
      <c r="F103" s="52">
        <f t="shared" si="6"/>
        <v>145.7657361</v>
      </c>
      <c r="G103" s="28">
        <f t="shared" si="2"/>
        <v>11324.54004</v>
      </c>
      <c r="H103" s="28">
        <f t="shared" si="3"/>
        <v>145.7657361</v>
      </c>
    </row>
    <row r="104" ht="12.75" customHeight="1">
      <c r="A104" s="49">
        <f t="shared" si="4"/>
        <v>99</v>
      </c>
      <c r="B104" s="50" t="s">
        <v>140</v>
      </c>
      <c r="C104" s="29"/>
      <c r="D104" s="53"/>
      <c r="E104" s="28">
        <f t="shared" si="5"/>
        <v>11122.52193</v>
      </c>
      <c r="F104" s="52">
        <f t="shared" si="6"/>
        <v>143.1654259</v>
      </c>
      <c r="G104" s="28">
        <f t="shared" si="2"/>
        <v>11122.52193</v>
      </c>
      <c r="H104" s="28">
        <f t="shared" si="3"/>
        <v>143.1654259</v>
      </c>
    </row>
    <row r="105" ht="12.75" customHeight="1">
      <c r="A105" s="49">
        <f t="shared" si="4"/>
        <v>100</v>
      </c>
      <c r="B105" s="50" t="s">
        <v>141</v>
      </c>
      <c r="C105" s="29"/>
      <c r="D105" s="53"/>
      <c r="E105" s="28">
        <f t="shared" si="5"/>
        <v>10924.10763</v>
      </c>
      <c r="F105" s="52">
        <f t="shared" si="6"/>
        <v>140.6115025</v>
      </c>
      <c r="G105" s="28">
        <f t="shared" si="2"/>
        <v>10924.10763</v>
      </c>
      <c r="H105" s="28">
        <f t="shared" si="3"/>
        <v>140.6115025</v>
      </c>
    </row>
    <row r="106" ht="12.75" customHeight="1">
      <c r="A106" s="49">
        <f t="shared" si="4"/>
        <v>101</v>
      </c>
      <c r="B106" s="50" t="s">
        <v>142</v>
      </c>
      <c r="C106" s="29"/>
      <c r="D106" s="53"/>
      <c r="E106" s="28">
        <f t="shared" si="5"/>
        <v>10729.23282</v>
      </c>
      <c r="F106" s="52">
        <f t="shared" si="6"/>
        <v>138.1031384</v>
      </c>
      <c r="G106" s="28">
        <f t="shared" si="2"/>
        <v>10729.23282</v>
      </c>
      <c r="H106" s="28">
        <f t="shared" si="3"/>
        <v>138.1031384</v>
      </c>
    </row>
    <row r="107" ht="12.75" customHeight="1">
      <c r="A107" s="49">
        <f t="shared" si="4"/>
        <v>102</v>
      </c>
      <c r="B107" s="50" t="s">
        <v>143</v>
      </c>
      <c r="C107" s="29"/>
      <c r="D107" s="53"/>
      <c r="E107" s="28">
        <f t="shared" si="5"/>
        <v>10537.83439</v>
      </c>
      <c r="F107" s="52">
        <f t="shared" si="6"/>
        <v>135.639521</v>
      </c>
      <c r="G107" s="28">
        <f t="shared" si="2"/>
        <v>10537.83439</v>
      </c>
      <c r="H107" s="28">
        <f t="shared" si="3"/>
        <v>135.639521</v>
      </c>
    </row>
    <row r="108" ht="12.75" customHeight="1">
      <c r="A108" s="49">
        <f t="shared" si="4"/>
        <v>103</v>
      </c>
      <c r="B108" s="50" t="s">
        <v>144</v>
      </c>
      <c r="C108" s="29"/>
      <c r="D108" s="53"/>
      <c r="E108" s="28">
        <f t="shared" si="5"/>
        <v>10349.8503</v>
      </c>
      <c r="F108" s="52">
        <f t="shared" si="6"/>
        <v>133.219852</v>
      </c>
      <c r="G108" s="28">
        <f t="shared" si="2"/>
        <v>10349.8503</v>
      </c>
      <c r="H108" s="28">
        <f t="shared" si="3"/>
        <v>133.219852</v>
      </c>
    </row>
    <row r="109" ht="12.75" customHeight="1">
      <c r="A109" s="49">
        <f t="shared" si="4"/>
        <v>104</v>
      </c>
      <c r="B109" s="50" t="s">
        <v>145</v>
      </c>
      <c r="C109" s="29"/>
      <c r="D109" s="53"/>
      <c r="E109" s="28">
        <f t="shared" si="5"/>
        <v>10165.21966</v>
      </c>
      <c r="F109" s="52">
        <f t="shared" si="6"/>
        <v>130.8433473</v>
      </c>
      <c r="G109" s="28">
        <f t="shared" si="2"/>
        <v>10165.21966</v>
      </c>
      <c r="H109" s="28">
        <f t="shared" si="3"/>
        <v>130.8433473</v>
      </c>
    </row>
    <row r="110" ht="12.75" customHeight="1">
      <c r="A110" s="49">
        <f t="shared" si="4"/>
        <v>105</v>
      </c>
      <c r="B110" s="50" t="s">
        <v>146</v>
      </c>
      <c r="C110" s="29"/>
      <c r="D110" s="53"/>
      <c r="E110" s="28">
        <f t="shared" si="5"/>
        <v>9983.882631</v>
      </c>
      <c r="F110" s="52">
        <f t="shared" si="6"/>
        <v>128.5092371</v>
      </c>
      <c r="G110" s="28">
        <f t="shared" si="2"/>
        <v>9983.882631</v>
      </c>
      <c r="H110" s="28">
        <f t="shared" si="3"/>
        <v>128.5092371</v>
      </c>
    </row>
    <row r="111" ht="12.75" customHeight="1">
      <c r="A111" s="49">
        <f t="shared" si="4"/>
        <v>106</v>
      </c>
      <c r="B111" s="50" t="s">
        <v>147</v>
      </c>
      <c r="C111" s="29"/>
      <c r="D111" s="53"/>
      <c r="E111" s="28">
        <f t="shared" si="5"/>
        <v>9805.780471</v>
      </c>
      <c r="F111" s="52">
        <f t="shared" si="6"/>
        <v>126.216765</v>
      </c>
      <c r="G111" s="28">
        <f t="shared" si="2"/>
        <v>9805.780471</v>
      </c>
      <c r="H111" s="28">
        <f t="shared" si="3"/>
        <v>126.216765</v>
      </c>
    </row>
    <row r="112" ht="12.75" customHeight="1">
      <c r="A112" s="49">
        <f t="shared" si="4"/>
        <v>107</v>
      </c>
      <c r="B112" s="50" t="s">
        <v>148</v>
      </c>
      <c r="C112" s="29"/>
      <c r="D112" s="53"/>
      <c r="E112" s="28">
        <f t="shared" si="5"/>
        <v>9630.855471</v>
      </c>
      <c r="F112" s="52">
        <f t="shared" si="6"/>
        <v>123.9651882</v>
      </c>
      <c r="G112" s="28">
        <f t="shared" si="2"/>
        <v>9630.855471</v>
      </c>
      <c r="H112" s="28">
        <f t="shared" si="3"/>
        <v>123.9651882</v>
      </c>
    </row>
    <row r="113" ht="12.75" customHeight="1">
      <c r="A113" s="49">
        <f t="shared" si="4"/>
        <v>108</v>
      </c>
      <c r="B113" s="50" t="s">
        <v>149</v>
      </c>
      <c r="C113" s="29"/>
      <c r="D113" s="53"/>
      <c r="E113" s="28">
        <f t="shared" si="5"/>
        <v>9459.050952</v>
      </c>
      <c r="F113" s="52">
        <f t="shared" si="6"/>
        <v>121.7537772</v>
      </c>
      <c r="G113" s="28">
        <f t="shared" si="2"/>
        <v>9459.050952</v>
      </c>
      <c r="H113" s="28">
        <f t="shared" si="3"/>
        <v>121.7537772</v>
      </c>
    </row>
    <row r="114" ht="12.75" customHeight="1">
      <c r="A114" s="49">
        <f t="shared" si="4"/>
        <v>109</v>
      </c>
      <c r="B114" s="50" t="s">
        <v>150</v>
      </c>
      <c r="C114" s="29"/>
      <c r="D114" s="53"/>
      <c r="E114" s="28">
        <f t="shared" si="5"/>
        <v>9290.311248</v>
      </c>
      <c r="F114" s="52">
        <f t="shared" si="6"/>
        <v>119.5818155</v>
      </c>
      <c r="G114" s="28">
        <f t="shared" si="2"/>
        <v>9290.311248</v>
      </c>
      <c r="H114" s="28">
        <f t="shared" si="3"/>
        <v>119.5818155</v>
      </c>
    </row>
    <row r="115" ht="12.75" customHeight="1">
      <c r="A115" s="49">
        <f t="shared" si="4"/>
        <v>110</v>
      </c>
      <c r="B115" s="50" t="s">
        <v>151</v>
      </c>
      <c r="C115" s="29"/>
      <c r="D115" s="53"/>
      <c r="E115" s="28">
        <f t="shared" si="5"/>
        <v>9124.581686</v>
      </c>
      <c r="F115" s="52">
        <f t="shared" si="6"/>
        <v>117.4485994</v>
      </c>
      <c r="G115" s="28">
        <f t="shared" si="2"/>
        <v>9124.581686</v>
      </c>
      <c r="H115" s="28">
        <f t="shared" si="3"/>
        <v>117.4485994</v>
      </c>
    </row>
    <row r="116" ht="12.75" customHeight="1">
      <c r="A116" s="49">
        <f t="shared" si="4"/>
        <v>111</v>
      </c>
      <c r="B116" s="50" t="s">
        <v>152</v>
      </c>
      <c r="C116" s="29"/>
      <c r="D116" s="53"/>
      <c r="E116" s="28">
        <f t="shared" si="5"/>
        <v>8961.808569</v>
      </c>
      <c r="F116" s="52">
        <f t="shared" si="6"/>
        <v>115.3534376</v>
      </c>
      <c r="G116" s="28">
        <f t="shared" si="2"/>
        <v>8961.808569</v>
      </c>
      <c r="H116" s="28">
        <f t="shared" si="3"/>
        <v>115.3534376</v>
      </c>
    </row>
    <row r="117" ht="12.75" customHeight="1">
      <c r="A117" s="49">
        <f t="shared" si="4"/>
        <v>112</v>
      </c>
      <c r="B117" s="50" t="s">
        <v>153</v>
      </c>
      <c r="C117" s="29"/>
      <c r="D117" s="53"/>
      <c r="E117" s="28">
        <f t="shared" si="5"/>
        <v>8801.939156</v>
      </c>
      <c r="F117" s="52">
        <f t="shared" si="6"/>
        <v>113.2956514</v>
      </c>
      <c r="G117" s="28">
        <f t="shared" si="2"/>
        <v>8801.939156</v>
      </c>
      <c r="H117" s="28">
        <f t="shared" si="3"/>
        <v>113.2956514</v>
      </c>
    </row>
    <row r="118" ht="12.75" customHeight="1">
      <c r="A118" s="49">
        <f t="shared" si="4"/>
        <v>113</v>
      </c>
      <c r="B118" s="50" t="s">
        <v>154</v>
      </c>
      <c r="C118" s="29"/>
      <c r="D118" s="53"/>
      <c r="E118" s="28">
        <f t="shared" si="5"/>
        <v>8644.921648</v>
      </c>
      <c r="F118" s="52">
        <f t="shared" si="6"/>
        <v>111.2745739</v>
      </c>
      <c r="G118" s="28">
        <f t="shared" si="2"/>
        <v>8644.921648</v>
      </c>
      <c r="H118" s="28">
        <f t="shared" si="3"/>
        <v>111.2745739</v>
      </c>
    </row>
    <row r="119" ht="12.75" customHeight="1">
      <c r="A119" s="49">
        <f t="shared" si="4"/>
        <v>114</v>
      </c>
      <c r="B119" s="50" t="s">
        <v>155</v>
      </c>
      <c r="C119" s="29"/>
      <c r="D119" s="53"/>
      <c r="E119" s="28">
        <f t="shared" si="5"/>
        <v>8490.70517</v>
      </c>
      <c r="F119" s="52">
        <f t="shared" si="6"/>
        <v>109.2895504</v>
      </c>
      <c r="G119" s="28">
        <f t="shared" si="2"/>
        <v>8490.70517</v>
      </c>
      <c r="H119" s="28">
        <f t="shared" si="3"/>
        <v>109.2895504</v>
      </c>
    </row>
    <row r="120" ht="12.75" customHeight="1">
      <c r="A120" s="49">
        <f t="shared" si="4"/>
        <v>115</v>
      </c>
      <c r="B120" s="50" t="s">
        <v>156</v>
      </c>
      <c r="C120" s="29"/>
      <c r="D120" s="53"/>
      <c r="E120" s="28">
        <f t="shared" si="5"/>
        <v>8339.239756</v>
      </c>
      <c r="F120" s="52">
        <f t="shared" si="6"/>
        <v>107.3399376</v>
      </c>
      <c r="G120" s="28">
        <f t="shared" si="2"/>
        <v>8339.239756</v>
      </c>
      <c r="H120" s="28">
        <f t="shared" si="3"/>
        <v>107.3399376</v>
      </c>
    </row>
    <row r="121" ht="12.75" customHeight="1">
      <c r="A121" s="49">
        <f t="shared" si="4"/>
        <v>116</v>
      </c>
      <c r="B121" s="50" t="s">
        <v>157</v>
      </c>
      <c r="C121" s="29"/>
      <c r="D121" s="53"/>
      <c r="E121" s="28">
        <f t="shared" si="5"/>
        <v>8190.476327</v>
      </c>
      <c r="F121" s="52">
        <f t="shared" si="6"/>
        <v>105.425104</v>
      </c>
      <c r="G121" s="28">
        <f t="shared" si="2"/>
        <v>8190.476327</v>
      </c>
      <c r="H121" s="28">
        <f t="shared" si="3"/>
        <v>105.425104</v>
      </c>
    </row>
    <row r="122" ht="12.75" customHeight="1">
      <c r="A122" s="49">
        <f t="shared" si="4"/>
        <v>117</v>
      </c>
      <c r="B122" s="50" t="s">
        <v>158</v>
      </c>
      <c r="C122" s="29"/>
      <c r="D122" s="53"/>
      <c r="E122" s="28">
        <f t="shared" si="5"/>
        <v>8044.366685</v>
      </c>
      <c r="F122" s="52">
        <f t="shared" si="6"/>
        <v>103.544429</v>
      </c>
      <c r="G122" s="28">
        <f t="shared" si="2"/>
        <v>8044.366685</v>
      </c>
      <c r="H122" s="28">
        <f t="shared" si="3"/>
        <v>103.544429</v>
      </c>
    </row>
    <row r="123" ht="12.75" customHeight="1">
      <c r="A123" s="49">
        <f t="shared" si="4"/>
        <v>118</v>
      </c>
      <c r="B123" s="50" t="s">
        <v>159</v>
      </c>
      <c r="C123" s="29"/>
      <c r="D123" s="53"/>
      <c r="E123" s="28">
        <f t="shared" si="5"/>
        <v>7900.863488</v>
      </c>
      <c r="F123" s="52">
        <f t="shared" si="6"/>
        <v>101.6973032</v>
      </c>
      <c r="G123" s="28">
        <f t="shared" si="2"/>
        <v>7900.863488</v>
      </c>
      <c r="H123" s="28">
        <f t="shared" si="3"/>
        <v>101.6973032</v>
      </c>
    </row>
    <row r="124" ht="12.75" customHeight="1">
      <c r="A124" s="49">
        <f t="shared" si="4"/>
        <v>119</v>
      </c>
      <c r="B124" s="50" t="s">
        <v>160</v>
      </c>
      <c r="C124" s="29"/>
      <c r="D124" s="53"/>
      <c r="E124" s="28">
        <f t="shared" si="5"/>
        <v>7759.92024</v>
      </c>
      <c r="F124" s="52">
        <f t="shared" si="6"/>
        <v>99.88312833</v>
      </c>
      <c r="G124" s="28">
        <f t="shared" si="2"/>
        <v>7759.92024</v>
      </c>
      <c r="H124" s="28">
        <f t="shared" si="3"/>
        <v>99.88312833</v>
      </c>
    </row>
    <row r="125" ht="12.75" customHeight="1">
      <c r="A125" s="49">
        <f t="shared" si="4"/>
        <v>120</v>
      </c>
      <c r="B125" s="50" t="s">
        <v>161</v>
      </c>
      <c r="C125" s="29"/>
      <c r="D125" s="53"/>
      <c r="E125" s="28">
        <f t="shared" si="5"/>
        <v>7621.491274</v>
      </c>
      <c r="F125" s="52">
        <f t="shared" si="6"/>
        <v>98.10131644</v>
      </c>
      <c r="G125" s="28">
        <f t="shared" si="2"/>
        <v>7621.491274</v>
      </c>
      <c r="H125" s="28">
        <f t="shared" si="3"/>
        <v>98.10131644</v>
      </c>
    </row>
    <row r="126" ht="12.75" customHeight="1">
      <c r="A126" s="49">
        <f t="shared" si="4"/>
        <v>121</v>
      </c>
      <c r="B126" s="50" t="s">
        <v>162</v>
      </c>
      <c r="C126" s="29"/>
      <c r="D126" s="53"/>
      <c r="E126" s="28">
        <f t="shared" si="5"/>
        <v>7485.531738</v>
      </c>
      <c r="F126" s="52">
        <f t="shared" si="6"/>
        <v>96.35129023</v>
      </c>
      <c r="G126" s="28">
        <f t="shared" si="2"/>
        <v>7485.531738</v>
      </c>
      <c r="H126" s="28">
        <f t="shared" si="3"/>
        <v>96.35129023</v>
      </c>
    </row>
    <row r="127" ht="12.75" customHeight="1">
      <c r="A127" s="49">
        <f t="shared" si="4"/>
        <v>122</v>
      </c>
      <c r="B127" s="50" t="s">
        <v>163</v>
      </c>
      <c r="C127" s="29"/>
      <c r="D127" s="53"/>
      <c r="E127" s="28">
        <f t="shared" si="5"/>
        <v>7351.997579</v>
      </c>
      <c r="F127" s="52">
        <f t="shared" si="6"/>
        <v>94.63248268</v>
      </c>
      <c r="G127" s="28">
        <f t="shared" si="2"/>
        <v>7351.997579</v>
      </c>
      <c r="H127" s="28">
        <f t="shared" si="3"/>
        <v>94.63248268</v>
      </c>
    </row>
    <row r="128" ht="12.75" customHeight="1">
      <c r="A128" s="49">
        <f t="shared" si="4"/>
        <v>123</v>
      </c>
      <c r="B128" s="50" t="s">
        <v>164</v>
      </c>
      <c r="C128" s="29"/>
      <c r="D128" s="53"/>
      <c r="E128" s="28">
        <f t="shared" si="5"/>
        <v>7220.845532</v>
      </c>
      <c r="F128" s="52">
        <f t="shared" si="6"/>
        <v>92.94433688</v>
      </c>
      <c r="G128" s="28">
        <f t="shared" si="2"/>
        <v>7220.845532</v>
      </c>
      <c r="H128" s="28">
        <f t="shared" si="3"/>
        <v>92.94433688</v>
      </c>
    </row>
    <row r="129" ht="12.75" customHeight="1">
      <c r="A129" s="49">
        <f t="shared" si="4"/>
        <v>124</v>
      </c>
      <c r="B129" s="50" t="s">
        <v>165</v>
      </c>
      <c r="C129" s="29"/>
      <c r="D129" s="53"/>
      <c r="E129" s="28">
        <f t="shared" si="5"/>
        <v>7092.033103</v>
      </c>
      <c r="F129" s="52">
        <f t="shared" si="6"/>
        <v>91.28630587</v>
      </c>
      <c r="G129" s="28">
        <f t="shared" si="2"/>
        <v>7092.033103</v>
      </c>
      <c r="H129" s="28">
        <f t="shared" si="3"/>
        <v>91.28630587</v>
      </c>
    </row>
    <row r="130" ht="12.75" customHeight="1">
      <c r="A130" s="49">
        <f t="shared" si="4"/>
        <v>125</v>
      </c>
      <c r="B130" s="50" t="s">
        <v>166</v>
      </c>
      <c r="C130" s="29"/>
      <c r="D130" s="53"/>
      <c r="E130" s="28">
        <f t="shared" si="5"/>
        <v>6965.518554</v>
      </c>
      <c r="F130" s="52">
        <f t="shared" si="6"/>
        <v>89.65785241</v>
      </c>
      <c r="G130" s="28">
        <f t="shared" si="2"/>
        <v>6965.518554</v>
      </c>
      <c r="H130" s="28">
        <f t="shared" si="3"/>
        <v>89.65785241</v>
      </c>
    </row>
    <row r="131" ht="12.75" customHeight="1">
      <c r="A131" s="49">
        <f t="shared" si="4"/>
        <v>126</v>
      </c>
      <c r="B131" s="50" t="s">
        <v>167</v>
      </c>
      <c r="C131" s="29"/>
      <c r="D131" s="53"/>
      <c r="E131" s="28">
        <f t="shared" si="5"/>
        <v>6841.260894</v>
      </c>
      <c r="F131" s="52">
        <f t="shared" si="6"/>
        <v>88.05844888</v>
      </c>
      <c r="G131" s="28">
        <f t="shared" si="2"/>
        <v>6841.260894</v>
      </c>
      <c r="H131" s="28">
        <f t="shared" si="3"/>
        <v>88.05844888</v>
      </c>
    </row>
    <row r="132" ht="12.75" customHeight="1">
      <c r="A132" s="49">
        <f t="shared" si="4"/>
        <v>127</v>
      </c>
      <c r="B132" s="50" t="s">
        <v>168</v>
      </c>
      <c r="C132" s="29"/>
      <c r="D132" s="53"/>
      <c r="E132" s="28">
        <f t="shared" si="5"/>
        <v>6719.219862</v>
      </c>
      <c r="F132" s="52">
        <f t="shared" si="6"/>
        <v>86.48757706</v>
      </c>
      <c r="G132" s="28">
        <f t="shared" si="2"/>
        <v>6719.219862</v>
      </c>
      <c r="H132" s="28">
        <f t="shared" si="3"/>
        <v>86.48757706</v>
      </c>
    </row>
    <row r="133" ht="12.75" customHeight="1">
      <c r="A133" s="49">
        <f t="shared" si="4"/>
        <v>128</v>
      </c>
      <c r="B133" s="50" t="s">
        <v>169</v>
      </c>
      <c r="C133" s="29"/>
      <c r="D133" s="53"/>
      <c r="E133" s="28">
        <f t="shared" si="5"/>
        <v>6599.355916</v>
      </c>
      <c r="F133" s="52">
        <f t="shared" si="6"/>
        <v>84.94472797</v>
      </c>
      <c r="G133" s="28">
        <f t="shared" si="2"/>
        <v>6599.355916</v>
      </c>
      <c r="H133" s="28">
        <f t="shared" si="3"/>
        <v>84.94472797</v>
      </c>
    </row>
    <row r="134" ht="12.75" customHeight="1">
      <c r="A134" s="49">
        <f t="shared" si="4"/>
        <v>129</v>
      </c>
      <c r="B134" s="50" t="s">
        <v>170</v>
      </c>
      <c r="C134" s="29"/>
      <c r="D134" s="53"/>
      <c r="E134" s="28">
        <f t="shared" si="5"/>
        <v>6481.630219</v>
      </c>
      <c r="F134" s="52">
        <f t="shared" si="6"/>
        <v>83.42940172</v>
      </c>
      <c r="G134" s="28">
        <f t="shared" si="2"/>
        <v>6481.630219</v>
      </c>
      <c r="H134" s="28">
        <f t="shared" si="3"/>
        <v>83.42940172</v>
      </c>
    </row>
    <row r="135" ht="12.75" customHeight="1">
      <c r="A135" s="49">
        <f t="shared" si="4"/>
        <v>130</v>
      </c>
      <c r="B135" s="50" t="s">
        <v>171</v>
      </c>
      <c r="C135" s="29"/>
      <c r="D135" s="53"/>
      <c r="E135" s="28">
        <f t="shared" si="5"/>
        <v>6366.004628</v>
      </c>
      <c r="F135" s="52">
        <f t="shared" si="6"/>
        <v>81.94110732</v>
      </c>
      <c r="G135" s="28">
        <f t="shared" si="2"/>
        <v>6366.004628</v>
      </c>
      <c r="H135" s="28">
        <f t="shared" si="3"/>
        <v>81.94110732</v>
      </c>
    </row>
    <row r="136" ht="12.75" customHeight="1">
      <c r="A136" s="49">
        <f t="shared" si="4"/>
        <v>131</v>
      </c>
      <c r="B136" s="50" t="s">
        <v>172</v>
      </c>
      <c r="C136" s="29"/>
      <c r="D136" s="53"/>
      <c r="E136" s="28">
        <f t="shared" si="5"/>
        <v>6252.441677</v>
      </c>
      <c r="F136" s="52">
        <f t="shared" si="6"/>
        <v>80.47936256</v>
      </c>
      <c r="G136" s="28">
        <f t="shared" si="2"/>
        <v>6252.441677</v>
      </c>
      <c r="H136" s="28">
        <f t="shared" si="3"/>
        <v>80.47936256</v>
      </c>
    </row>
    <row r="137" ht="12.75" customHeight="1">
      <c r="A137" s="49">
        <f t="shared" si="4"/>
        <v>132</v>
      </c>
      <c r="B137" s="50" t="s">
        <v>173</v>
      </c>
      <c r="C137" s="29"/>
      <c r="D137" s="53"/>
      <c r="E137" s="28">
        <f t="shared" si="5"/>
        <v>6140.904572</v>
      </c>
      <c r="F137" s="52">
        <f t="shared" si="6"/>
        <v>79.04369381</v>
      </c>
      <c r="G137" s="28">
        <f t="shared" si="2"/>
        <v>6140.904572</v>
      </c>
      <c r="H137" s="28">
        <f t="shared" si="3"/>
        <v>79.04369381</v>
      </c>
    </row>
    <row r="138" ht="12.75" customHeight="1">
      <c r="A138" s="49">
        <f t="shared" si="4"/>
        <v>133</v>
      </c>
      <c r="B138" s="50" t="s">
        <v>174</v>
      </c>
      <c r="C138" s="29"/>
      <c r="D138" s="53"/>
      <c r="E138" s="28">
        <f t="shared" si="5"/>
        <v>6031.357174</v>
      </c>
      <c r="F138" s="52">
        <f t="shared" si="6"/>
        <v>77.63363592</v>
      </c>
      <c r="G138" s="28">
        <f t="shared" si="2"/>
        <v>6031.357174</v>
      </c>
      <c r="H138" s="28">
        <f t="shared" si="3"/>
        <v>77.63363592</v>
      </c>
    </row>
    <row r="139" ht="12.75" customHeight="1">
      <c r="A139" s="49">
        <f t="shared" si="4"/>
        <v>134</v>
      </c>
      <c r="B139" s="50" t="s">
        <v>175</v>
      </c>
      <c r="C139" s="29"/>
      <c r="D139" s="53"/>
      <c r="E139" s="28">
        <f t="shared" si="5"/>
        <v>5923.763989</v>
      </c>
      <c r="F139" s="52">
        <f t="shared" si="6"/>
        <v>76.248732</v>
      </c>
      <c r="G139" s="28">
        <f t="shared" si="2"/>
        <v>5923.763989</v>
      </c>
      <c r="H139" s="28">
        <f t="shared" si="3"/>
        <v>76.248732</v>
      </c>
    </row>
    <row r="140" ht="12.75" customHeight="1">
      <c r="A140" s="49">
        <f t="shared" si="4"/>
        <v>135</v>
      </c>
      <c r="B140" s="50" t="s">
        <v>176</v>
      </c>
      <c r="C140" s="29"/>
      <c r="D140" s="53"/>
      <c r="E140" s="28">
        <f t="shared" si="5"/>
        <v>5818.090155</v>
      </c>
      <c r="F140" s="52">
        <f t="shared" si="6"/>
        <v>74.88853334</v>
      </c>
      <c r="G140" s="28">
        <f t="shared" si="2"/>
        <v>5818.090155</v>
      </c>
      <c r="H140" s="28">
        <f t="shared" si="3"/>
        <v>74.88853334</v>
      </c>
    </row>
    <row r="141" ht="12.75" customHeight="1">
      <c r="A141" s="49">
        <f t="shared" si="4"/>
        <v>136</v>
      </c>
      <c r="B141" s="50" t="s">
        <v>177</v>
      </c>
      <c r="C141" s="29"/>
      <c r="D141" s="53"/>
      <c r="E141" s="28">
        <f t="shared" si="5"/>
        <v>5714.301433</v>
      </c>
      <c r="F141" s="52">
        <f t="shared" si="6"/>
        <v>73.55259921</v>
      </c>
      <c r="G141" s="28">
        <f t="shared" si="2"/>
        <v>5714.301433</v>
      </c>
      <c r="H141" s="28">
        <f t="shared" si="3"/>
        <v>73.55259921</v>
      </c>
    </row>
    <row r="142" ht="12.75" customHeight="1">
      <c r="A142" s="49">
        <f t="shared" si="4"/>
        <v>137</v>
      </c>
      <c r="B142" s="50" t="s">
        <v>178</v>
      </c>
      <c r="C142" s="29"/>
      <c r="D142" s="53"/>
      <c r="E142" s="28">
        <f t="shared" si="5"/>
        <v>5612.364195</v>
      </c>
      <c r="F142" s="52">
        <f t="shared" si="6"/>
        <v>72.24049678</v>
      </c>
      <c r="G142" s="28">
        <f t="shared" si="2"/>
        <v>5612.364195</v>
      </c>
      <c r="H142" s="28">
        <f t="shared" si="3"/>
        <v>72.24049678</v>
      </c>
    </row>
    <row r="143" ht="12.75" customHeight="1">
      <c r="A143" s="49">
        <f t="shared" si="4"/>
        <v>138</v>
      </c>
      <c r="B143" s="50" t="s">
        <v>179</v>
      </c>
      <c r="C143" s="29"/>
      <c r="D143" s="53"/>
      <c r="E143" s="28">
        <f t="shared" si="5"/>
        <v>5512.245411</v>
      </c>
      <c r="F143" s="52">
        <f t="shared" si="6"/>
        <v>70.95180089</v>
      </c>
      <c r="G143" s="28">
        <f t="shared" si="2"/>
        <v>5512.245411</v>
      </c>
      <c r="H143" s="28">
        <f t="shared" si="3"/>
        <v>70.95180089</v>
      </c>
    </row>
    <row r="144" ht="12.75" customHeight="1">
      <c r="A144" s="49">
        <f t="shared" si="4"/>
        <v>139</v>
      </c>
      <c r="B144" s="50" t="s">
        <v>180</v>
      </c>
      <c r="C144" s="29"/>
      <c r="D144" s="53"/>
      <c r="E144" s="28">
        <f t="shared" si="5"/>
        <v>5413.912644</v>
      </c>
      <c r="F144" s="52">
        <f t="shared" si="6"/>
        <v>69.68609401</v>
      </c>
      <c r="G144" s="28">
        <f t="shared" si="2"/>
        <v>5413.912644</v>
      </c>
      <c r="H144" s="28">
        <f t="shared" si="3"/>
        <v>69.68609401</v>
      </c>
    </row>
    <row r="145" ht="12.75" customHeight="1">
      <c r="A145" s="49">
        <f t="shared" si="4"/>
        <v>140</v>
      </c>
      <c r="B145" s="50" t="s">
        <v>181</v>
      </c>
      <c r="C145" s="29"/>
      <c r="D145" s="53"/>
      <c r="E145" s="28">
        <f t="shared" si="5"/>
        <v>5317.334031</v>
      </c>
      <c r="F145" s="52">
        <f t="shared" si="6"/>
        <v>68.44296603</v>
      </c>
      <c r="G145" s="28">
        <f t="shared" si="2"/>
        <v>5317.334031</v>
      </c>
      <c r="H145" s="28">
        <f t="shared" si="3"/>
        <v>68.44296603</v>
      </c>
    </row>
    <row r="146" ht="12.75" customHeight="1">
      <c r="A146" s="49">
        <f t="shared" si="4"/>
        <v>141</v>
      </c>
      <c r="B146" s="50" t="s">
        <v>182</v>
      </c>
      <c r="C146" s="29"/>
      <c r="D146" s="53"/>
      <c r="E146" s="28">
        <f t="shared" si="5"/>
        <v>5222.478282</v>
      </c>
      <c r="F146" s="52">
        <f t="shared" si="6"/>
        <v>67.22201418</v>
      </c>
      <c r="G146" s="28">
        <f t="shared" si="2"/>
        <v>5222.478282</v>
      </c>
      <c r="H146" s="28">
        <f t="shared" si="3"/>
        <v>67.22201418</v>
      </c>
    </row>
    <row r="147" ht="12.75" customHeight="1">
      <c r="A147" s="49">
        <f t="shared" si="4"/>
        <v>142</v>
      </c>
      <c r="B147" s="50" t="s">
        <v>183</v>
      </c>
      <c r="C147" s="29"/>
      <c r="D147" s="53"/>
      <c r="E147" s="28">
        <f t="shared" si="5"/>
        <v>5129.31466</v>
      </c>
      <c r="F147" s="52">
        <f t="shared" si="6"/>
        <v>66.02284284</v>
      </c>
      <c r="G147" s="28">
        <f t="shared" si="2"/>
        <v>5129.31466</v>
      </c>
      <c r="H147" s="28">
        <f t="shared" si="3"/>
        <v>66.02284284</v>
      </c>
    </row>
    <row r="148" ht="12.75" customHeight="1">
      <c r="A148" s="49">
        <f t="shared" si="4"/>
        <v>143</v>
      </c>
      <c r="B148" s="50" t="s">
        <v>184</v>
      </c>
      <c r="C148" s="29"/>
      <c r="D148" s="53"/>
      <c r="E148" s="28">
        <f t="shared" si="5"/>
        <v>5037.812982</v>
      </c>
      <c r="F148" s="52">
        <f t="shared" si="6"/>
        <v>64.84506349</v>
      </c>
      <c r="G148" s="28">
        <f t="shared" si="2"/>
        <v>5037.812982</v>
      </c>
      <c r="H148" s="28">
        <f t="shared" si="3"/>
        <v>64.84506349</v>
      </c>
    </row>
    <row r="149" ht="12.75" customHeight="1">
      <c r="A149" s="49">
        <f t="shared" si="4"/>
        <v>144</v>
      </c>
      <c r="B149" s="50" t="s">
        <v>185</v>
      </c>
      <c r="C149" s="29"/>
      <c r="D149" s="53"/>
      <c r="E149" s="28">
        <f t="shared" si="5"/>
        <v>4947.943599</v>
      </c>
      <c r="F149" s="52">
        <f t="shared" si="6"/>
        <v>63.6882945</v>
      </c>
      <c r="G149" s="28">
        <f t="shared" si="2"/>
        <v>4947.943599</v>
      </c>
      <c r="H149" s="28">
        <f t="shared" si="3"/>
        <v>63.6882945</v>
      </c>
    </row>
    <row r="150" ht="12.75" customHeight="1">
      <c r="A150" s="49">
        <f t="shared" si="4"/>
        <v>145</v>
      </c>
      <c r="B150" s="50" t="s">
        <v>186</v>
      </c>
      <c r="C150" s="29"/>
      <c r="D150" s="53"/>
      <c r="E150" s="28">
        <f t="shared" si="5"/>
        <v>4859.677394</v>
      </c>
      <c r="F150" s="52">
        <f t="shared" si="6"/>
        <v>62.55216107</v>
      </c>
      <c r="G150" s="28">
        <f t="shared" si="2"/>
        <v>4859.677394</v>
      </c>
      <c r="H150" s="28">
        <f t="shared" si="3"/>
        <v>62.55216107</v>
      </c>
    </row>
    <row r="151" ht="12.75" customHeight="1">
      <c r="A151" s="49">
        <f t="shared" si="4"/>
        <v>146</v>
      </c>
      <c r="B151" s="50" t="s">
        <v>187</v>
      </c>
      <c r="C151" s="29"/>
      <c r="D151" s="53"/>
      <c r="E151" s="28">
        <f t="shared" si="5"/>
        <v>4772.985766</v>
      </c>
      <c r="F151" s="52">
        <f t="shared" si="6"/>
        <v>61.43629509</v>
      </c>
      <c r="G151" s="28">
        <f t="shared" si="2"/>
        <v>4772.985766</v>
      </c>
      <c r="H151" s="28">
        <f t="shared" si="3"/>
        <v>61.43629509</v>
      </c>
    </row>
    <row r="152" ht="12.75" customHeight="1">
      <c r="A152" s="49">
        <f t="shared" si="4"/>
        <v>147</v>
      </c>
      <c r="B152" s="50" t="s">
        <v>188</v>
      </c>
      <c r="C152" s="29"/>
      <c r="D152" s="53"/>
      <c r="E152" s="28">
        <f t="shared" si="5"/>
        <v>4687.840627</v>
      </c>
      <c r="F152" s="52">
        <f t="shared" si="6"/>
        <v>60.34033501</v>
      </c>
      <c r="G152" s="28">
        <f t="shared" si="2"/>
        <v>4687.840627</v>
      </c>
      <c r="H152" s="28">
        <f t="shared" si="3"/>
        <v>60.34033501</v>
      </c>
    </row>
    <row r="153" ht="12.75" customHeight="1">
      <c r="A153" s="49">
        <f t="shared" si="4"/>
        <v>148</v>
      </c>
      <c r="B153" s="50" t="s">
        <v>189</v>
      </c>
      <c r="C153" s="29"/>
      <c r="D153" s="53"/>
      <c r="E153" s="28">
        <f t="shared" si="5"/>
        <v>4604.21439</v>
      </c>
      <c r="F153" s="52">
        <f t="shared" si="6"/>
        <v>59.26392573</v>
      </c>
      <c r="G153" s="28">
        <f t="shared" si="2"/>
        <v>4604.21439</v>
      </c>
      <c r="H153" s="28">
        <f t="shared" si="3"/>
        <v>59.26392573</v>
      </c>
    </row>
    <row r="154" ht="12.75" customHeight="1">
      <c r="A154" s="49">
        <f t="shared" si="4"/>
        <v>149</v>
      </c>
      <c r="B154" s="50" t="s">
        <v>190</v>
      </c>
      <c r="C154" s="29"/>
      <c r="D154" s="53"/>
      <c r="E154" s="28">
        <f t="shared" si="5"/>
        <v>4522.079958</v>
      </c>
      <c r="F154" s="52">
        <f t="shared" si="6"/>
        <v>58.20671848</v>
      </c>
      <c r="G154" s="28">
        <f t="shared" si="2"/>
        <v>4522.079958</v>
      </c>
      <c r="H154" s="28">
        <f t="shared" si="3"/>
        <v>58.20671848</v>
      </c>
    </row>
    <row r="155" ht="12.75" customHeight="1">
      <c r="A155" s="49">
        <f t="shared" si="4"/>
        <v>150</v>
      </c>
      <c r="B155" s="50" t="s">
        <v>191</v>
      </c>
      <c r="C155" s="29"/>
      <c r="D155" s="53"/>
      <c r="E155" s="28">
        <f t="shared" si="5"/>
        <v>4441.41072</v>
      </c>
      <c r="F155" s="52">
        <f t="shared" si="6"/>
        <v>57.16837071</v>
      </c>
      <c r="G155" s="28">
        <f t="shared" si="2"/>
        <v>4441.41072</v>
      </c>
      <c r="H155" s="28">
        <f t="shared" si="3"/>
        <v>57.16837071</v>
      </c>
    </row>
    <row r="156" ht="12.75" customHeight="1">
      <c r="A156" s="49">
        <f t="shared" si="4"/>
        <v>151</v>
      </c>
      <c r="B156" s="50" t="s">
        <v>192</v>
      </c>
      <c r="C156" s="29"/>
      <c r="D156" s="53"/>
      <c r="E156" s="28">
        <f t="shared" si="5"/>
        <v>4362.180538</v>
      </c>
      <c r="F156" s="52">
        <f t="shared" si="6"/>
        <v>56.14854599</v>
      </c>
      <c r="G156" s="28">
        <f t="shared" si="2"/>
        <v>4362.180538</v>
      </c>
      <c r="H156" s="28">
        <f t="shared" si="3"/>
        <v>56.14854599</v>
      </c>
    </row>
    <row r="157" ht="12.75" customHeight="1">
      <c r="A157" s="49">
        <f t="shared" si="4"/>
        <v>152</v>
      </c>
      <c r="B157" s="50" t="s">
        <v>193</v>
      </c>
      <c r="C157" s="29"/>
      <c r="D157" s="53"/>
      <c r="E157" s="28">
        <f t="shared" si="5"/>
        <v>4284.363741</v>
      </c>
      <c r="F157" s="52">
        <f t="shared" si="6"/>
        <v>55.1469139</v>
      </c>
      <c r="G157" s="28">
        <f t="shared" si="2"/>
        <v>4284.363741</v>
      </c>
      <c r="H157" s="28">
        <f t="shared" si="3"/>
        <v>55.1469139</v>
      </c>
    </row>
    <row r="158" ht="12.75" customHeight="1">
      <c r="A158" s="49">
        <f t="shared" si="4"/>
        <v>153</v>
      </c>
      <c r="B158" s="50" t="s">
        <v>194</v>
      </c>
      <c r="C158" s="29"/>
      <c r="D158" s="53"/>
      <c r="E158" s="28">
        <f t="shared" si="5"/>
        <v>4207.935115</v>
      </c>
      <c r="F158" s="52">
        <f t="shared" si="6"/>
        <v>54.16314989</v>
      </c>
      <c r="G158" s="28">
        <f t="shared" si="2"/>
        <v>4207.935115</v>
      </c>
      <c r="H158" s="28">
        <f t="shared" si="3"/>
        <v>54.16314989</v>
      </c>
    </row>
    <row r="159" ht="12.75" customHeight="1">
      <c r="A159" s="49">
        <f t="shared" si="4"/>
        <v>154</v>
      </c>
      <c r="B159" s="50" t="s">
        <v>195</v>
      </c>
      <c r="C159" s="29"/>
      <c r="D159" s="53"/>
      <c r="E159" s="28">
        <f t="shared" si="5"/>
        <v>4132.869896</v>
      </c>
      <c r="F159" s="52">
        <f t="shared" si="6"/>
        <v>53.19693521</v>
      </c>
      <c r="G159" s="28">
        <f t="shared" si="2"/>
        <v>4132.869896</v>
      </c>
      <c r="H159" s="28">
        <f t="shared" si="3"/>
        <v>53.19693521</v>
      </c>
    </row>
    <row r="160" ht="12.75" customHeight="1">
      <c r="A160" s="49">
        <f t="shared" si="4"/>
        <v>155</v>
      </c>
      <c r="B160" s="50" t="s">
        <v>196</v>
      </c>
      <c r="C160" s="29"/>
      <c r="D160" s="53"/>
      <c r="E160" s="28">
        <f t="shared" si="5"/>
        <v>4059.143764</v>
      </c>
      <c r="F160" s="52">
        <f t="shared" si="6"/>
        <v>52.2479568</v>
      </c>
      <c r="G160" s="28">
        <f t="shared" si="2"/>
        <v>4059.143764</v>
      </c>
      <c r="H160" s="28">
        <f t="shared" si="3"/>
        <v>52.2479568</v>
      </c>
    </row>
    <row r="161" ht="12.75" customHeight="1">
      <c r="A161" s="49">
        <f t="shared" si="4"/>
        <v>156</v>
      </c>
      <c r="B161" s="50" t="s">
        <v>197</v>
      </c>
      <c r="C161" s="29"/>
      <c r="D161" s="53"/>
      <c r="E161" s="28">
        <f t="shared" si="5"/>
        <v>3986.73283</v>
      </c>
      <c r="F161" s="52">
        <f t="shared" si="6"/>
        <v>51.31590719</v>
      </c>
      <c r="G161" s="28">
        <f t="shared" si="2"/>
        <v>3986.73283</v>
      </c>
      <c r="H161" s="28">
        <f t="shared" si="3"/>
        <v>51.31590719</v>
      </c>
    </row>
    <row r="162" ht="12.75" customHeight="1">
      <c r="A162" s="49">
        <f t="shared" si="4"/>
        <v>157</v>
      </c>
      <c r="B162" s="50" t="s">
        <v>198</v>
      </c>
      <c r="C162" s="29"/>
      <c r="D162" s="53"/>
      <c r="E162" s="28">
        <f t="shared" si="5"/>
        <v>3915.613632</v>
      </c>
      <c r="F162" s="52">
        <f t="shared" si="6"/>
        <v>50.40048438</v>
      </c>
      <c r="G162" s="28">
        <f t="shared" si="2"/>
        <v>3915.613632</v>
      </c>
      <c r="H162" s="28">
        <f t="shared" si="3"/>
        <v>50.40048438</v>
      </c>
    </row>
    <row r="163" ht="12.75" customHeight="1">
      <c r="A163" s="49">
        <f t="shared" si="4"/>
        <v>158</v>
      </c>
      <c r="B163" s="50" t="s">
        <v>199</v>
      </c>
      <c r="C163" s="29"/>
      <c r="D163" s="53"/>
      <c r="E163" s="28">
        <f t="shared" si="5"/>
        <v>3845.763127</v>
      </c>
      <c r="F163" s="52">
        <f t="shared" si="6"/>
        <v>49.50139177</v>
      </c>
      <c r="G163" s="28">
        <f t="shared" si="2"/>
        <v>3845.763127</v>
      </c>
      <c r="H163" s="28">
        <f t="shared" si="3"/>
        <v>49.50139177</v>
      </c>
    </row>
    <row r="164" ht="12.75" customHeight="1">
      <c r="A164" s="49">
        <f t="shared" si="4"/>
        <v>159</v>
      </c>
      <c r="B164" s="50" t="s">
        <v>200</v>
      </c>
      <c r="C164" s="29"/>
      <c r="D164" s="53"/>
      <c r="E164" s="28">
        <f t="shared" si="5"/>
        <v>3777.158683</v>
      </c>
      <c r="F164" s="52">
        <f t="shared" si="6"/>
        <v>48.61833805</v>
      </c>
      <c r="G164" s="28">
        <f t="shared" si="2"/>
        <v>3777.158683</v>
      </c>
      <c r="H164" s="28">
        <f t="shared" si="3"/>
        <v>48.61833805</v>
      </c>
    </row>
    <row r="165" ht="12.75" customHeight="1">
      <c r="A165" s="49">
        <f t="shared" si="4"/>
        <v>160</v>
      </c>
      <c r="B165" s="50" t="s">
        <v>201</v>
      </c>
      <c r="C165" s="29"/>
      <c r="D165" s="53"/>
      <c r="E165" s="28">
        <f t="shared" si="5"/>
        <v>3709.778071</v>
      </c>
      <c r="F165" s="52">
        <f t="shared" si="6"/>
        <v>47.75103709</v>
      </c>
      <c r="G165" s="28">
        <f t="shared" si="2"/>
        <v>3709.778071</v>
      </c>
      <c r="H165" s="28">
        <f t="shared" si="3"/>
        <v>47.75103709</v>
      </c>
    </row>
    <row r="166" ht="12.75" customHeight="1">
      <c r="A166" s="49">
        <f t="shared" si="4"/>
        <v>161</v>
      </c>
      <c r="B166" s="50" t="s">
        <v>202</v>
      </c>
      <c r="C166" s="29"/>
      <c r="D166" s="53"/>
      <c r="E166" s="28">
        <f t="shared" si="5"/>
        <v>3643.59946</v>
      </c>
      <c r="F166" s="52">
        <f t="shared" si="6"/>
        <v>46.89920788</v>
      </c>
      <c r="G166" s="28">
        <f t="shared" si="2"/>
        <v>3643.59946</v>
      </c>
      <c r="H166" s="28">
        <f t="shared" si="3"/>
        <v>46.89920788</v>
      </c>
    </row>
    <row r="167" ht="12.75" customHeight="1">
      <c r="A167" s="49">
        <f t="shared" si="4"/>
        <v>162</v>
      </c>
      <c r="B167" s="50" t="s">
        <v>203</v>
      </c>
      <c r="C167" s="29"/>
      <c r="D167" s="53"/>
      <c r="E167" s="28">
        <f t="shared" si="5"/>
        <v>3578.601408</v>
      </c>
      <c r="F167" s="52">
        <f t="shared" si="6"/>
        <v>46.06257443</v>
      </c>
      <c r="G167" s="28">
        <f t="shared" si="2"/>
        <v>3578.601408</v>
      </c>
      <c r="H167" s="28">
        <f t="shared" si="3"/>
        <v>46.06257443</v>
      </c>
    </row>
    <row r="168" ht="12.75" customHeight="1">
      <c r="A168" s="49">
        <f t="shared" si="4"/>
        <v>163</v>
      </c>
      <c r="B168" s="50" t="s">
        <v>204</v>
      </c>
      <c r="C168" s="29"/>
      <c r="D168" s="53"/>
      <c r="E168" s="28">
        <f t="shared" si="5"/>
        <v>3514.762853</v>
      </c>
      <c r="F168" s="52">
        <f t="shared" si="6"/>
        <v>45.24086566</v>
      </c>
      <c r="G168" s="28">
        <f t="shared" si="2"/>
        <v>3514.762853</v>
      </c>
      <c r="H168" s="28">
        <f t="shared" si="3"/>
        <v>45.24086566</v>
      </c>
    </row>
    <row r="169" ht="12.75" customHeight="1">
      <c r="A169" s="49">
        <f t="shared" si="4"/>
        <v>164</v>
      </c>
      <c r="B169" s="50" t="s">
        <v>205</v>
      </c>
      <c r="C169" s="29"/>
      <c r="D169" s="53"/>
      <c r="E169" s="28">
        <f t="shared" si="5"/>
        <v>3452.063112</v>
      </c>
      <c r="F169" s="52">
        <f t="shared" si="6"/>
        <v>44.43381532</v>
      </c>
      <c r="G169" s="28">
        <f t="shared" si="2"/>
        <v>3452.063112</v>
      </c>
      <c r="H169" s="28">
        <f t="shared" si="3"/>
        <v>44.43381532</v>
      </c>
    </row>
    <row r="170" ht="12.75" customHeight="1">
      <c r="A170" s="49">
        <f t="shared" si="4"/>
        <v>165</v>
      </c>
      <c r="B170" s="50" t="s">
        <v>206</v>
      </c>
      <c r="C170" s="29"/>
      <c r="D170" s="53"/>
      <c r="E170" s="28">
        <f t="shared" si="5"/>
        <v>3390.48187</v>
      </c>
      <c r="F170" s="52">
        <f t="shared" si="6"/>
        <v>43.64116192</v>
      </c>
      <c r="G170" s="28">
        <f t="shared" si="2"/>
        <v>3390.48187</v>
      </c>
      <c r="H170" s="28">
        <f t="shared" si="3"/>
        <v>43.64116192</v>
      </c>
    </row>
    <row r="171" ht="12.75" customHeight="1">
      <c r="A171" s="49">
        <f t="shared" si="4"/>
        <v>166</v>
      </c>
      <c r="B171" s="50" t="s">
        <v>207</v>
      </c>
      <c r="C171" s="29"/>
      <c r="D171" s="53"/>
      <c r="E171" s="28">
        <f t="shared" si="5"/>
        <v>3329.999174</v>
      </c>
      <c r="F171" s="52">
        <f t="shared" si="6"/>
        <v>42.86264865</v>
      </c>
      <c r="G171" s="28">
        <f t="shared" si="2"/>
        <v>3329.999174</v>
      </c>
      <c r="H171" s="28">
        <f t="shared" si="3"/>
        <v>42.86264865</v>
      </c>
    </row>
    <row r="172" ht="12.75" customHeight="1">
      <c r="A172" s="49">
        <f t="shared" si="4"/>
        <v>167</v>
      </c>
      <c r="B172" s="50" t="s">
        <v>208</v>
      </c>
      <c r="C172" s="29"/>
      <c r="D172" s="53"/>
      <c r="E172" s="28">
        <f t="shared" si="5"/>
        <v>3270.595426</v>
      </c>
      <c r="F172" s="52">
        <f t="shared" si="6"/>
        <v>42.09802325</v>
      </c>
      <c r="G172" s="28">
        <f t="shared" si="2"/>
        <v>3270.595426</v>
      </c>
      <c r="H172" s="28">
        <f t="shared" si="3"/>
        <v>42.09802325</v>
      </c>
    </row>
    <row r="173" ht="12.75" customHeight="1">
      <c r="A173" s="49">
        <f t="shared" si="4"/>
        <v>168</v>
      </c>
      <c r="B173" s="50" t="s">
        <v>209</v>
      </c>
      <c r="C173" s="29"/>
      <c r="D173" s="53"/>
      <c r="E173" s="28">
        <f t="shared" si="5"/>
        <v>3212.25138</v>
      </c>
      <c r="F173" s="52">
        <f t="shared" si="6"/>
        <v>41.34703797</v>
      </c>
      <c r="G173" s="28">
        <f t="shared" si="2"/>
        <v>3212.25138</v>
      </c>
      <c r="H173" s="28">
        <f t="shared" si="3"/>
        <v>41.34703797</v>
      </c>
    </row>
    <row r="174" ht="12.75" customHeight="1">
      <c r="A174" s="49">
        <f t="shared" si="4"/>
        <v>169</v>
      </c>
      <c r="B174" s="50" t="s">
        <v>210</v>
      </c>
      <c r="C174" s="29"/>
      <c r="D174" s="53"/>
      <c r="E174" s="28">
        <f t="shared" si="5"/>
        <v>3154.948132</v>
      </c>
      <c r="F174" s="52">
        <f t="shared" si="6"/>
        <v>40.6094495</v>
      </c>
      <c r="G174" s="28">
        <f t="shared" si="2"/>
        <v>3154.948132</v>
      </c>
      <c r="H174" s="28">
        <f t="shared" si="3"/>
        <v>40.6094495</v>
      </c>
    </row>
    <row r="175" ht="12.75" customHeight="1">
      <c r="A175" s="49">
        <f t="shared" si="4"/>
        <v>170</v>
      </c>
      <c r="B175" s="50" t="s">
        <v>211</v>
      </c>
      <c r="C175" s="29"/>
      <c r="D175" s="53"/>
      <c r="E175" s="28">
        <f t="shared" si="5"/>
        <v>3098.667114</v>
      </c>
      <c r="F175" s="52">
        <f t="shared" si="6"/>
        <v>39.88501884</v>
      </c>
      <c r="G175" s="28">
        <f t="shared" si="2"/>
        <v>3098.667114</v>
      </c>
      <c r="H175" s="28">
        <f t="shared" si="3"/>
        <v>39.88501884</v>
      </c>
    </row>
    <row r="176" ht="12.75" customHeight="1">
      <c r="A176" s="49">
        <f t="shared" si="4"/>
        <v>171</v>
      </c>
      <c r="B176" s="50" t="s">
        <v>212</v>
      </c>
      <c r="C176" s="29"/>
      <c r="D176" s="53"/>
      <c r="E176" s="28">
        <f t="shared" si="5"/>
        <v>3043.390092</v>
      </c>
      <c r="F176" s="52">
        <f t="shared" si="6"/>
        <v>39.17351128</v>
      </c>
      <c r="G176" s="28">
        <f t="shared" si="2"/>
        <v>3043.390092</v>
      </c>
      <c r="H176" s="28">
        <f t="shared" si="3"/>
        <v>39.17351128</v>
      </c>
    </row>
    <row r="177" ht="12.75" customHeight="1">
      <c r="A177" s="49">
        <f t="shared" si="4"/>
        <v>172</v>
      </c>
      <c r="B177" s="50" t="s">
        <v>213</v>
      </c>
      <c r="C177" s="29"/>
      <c r="D177" s="53"/>
      <c r="E177" s="28">
        <f t="shared" si="5"/>
        <v>2989.099154</v>
      </c>
      <c r="F177" s="52">
        <f t="shared" si="6"/>
        <v>38.47469628</v>
      </c>
      <c r="G177" s="28">
        <f t="shared" si="2"/>
        <v>2989.099154</v>
      </c>
      <c r="H177" s="28">
        <f t="shared" si="3"/>
        <v>38.47469628</v>
      </c>
    </row>
    <row r="178" ht="12.75" customHeight="1">
      <c r="A178" s="49">
        <f t="shared" si="4"/>
        <v>173</v>
      </c>
      <c r="B178" s="50" t="s">
        <v>214</v>
      </c>
      <c r="C178" s="29"/>
      <c r="D178" s="53"/>
      <c r="E178" s="28">
        <f t="shared" si="5"/>
        <v>2935.776711</v>
      </c>
      <c r="F178" s="52">
        <f t="shared" si="6"/>
        <v>37.78834742</v>
      </c>
      <c r="G178" s="28">
        <f t="shared" si="2"/>
        <v>2935.776711</v>
      </c>
      <c r="H178" s="28">
        <f t="shared" si="3"/>
        <v>37.78834742</v>
      </c>
    </row>
    <row r="179" ht="12.75" customHeight="1">
      <c r="A179" s="49">
        <f t="shared" si="4"/>
        <v>174</v>
      </c>
      <c r="B179" s="50" t="s">
        <v>215</v>
      </c>
      <c r="C179" s="29"/>
      <c r="D179" s="53"/>
      <c r="E179" s="28">
        <f t="shared" si="5"/>
        <v>2883.405485</v>
      </c>
      <c r="F179" s="52">
        <f t="shared" si="6"/>
        <v>37.11424231</v>
      </c>
      <c r="G179" s="28">
        <f t="shared" si="2"/>
        <v>2883.405485</v>
      </c>
      <c r="H179" s="28">
        <f t="shared" si="3"/>
        <v>37.11424231</v>
      </c>
    </row>
    <row r="180" ht="12.75" customHeight="1">
      <c r="A180" s="49">
        <f t="shared" si="4"/>
        <v>175</v>
      </c>
      <c r="B180" s="50" t="s">
        <v>216</v>
      </c>
      <c r="C180" s="29"/>
      <c r="D180" s="53"/>
      <c r="E180" s="28">
        <f t="shared" si="5"/>
        <v>2831.968508</v>
      </c>
      <c r="F180" s="52">
        <f t="shared" si="6"/>
        <v>36.45216255</v>
      </c>
      <c r="G180" s="28">
        <f t="shared" si="2"/>
        <v>2831.968508</v>
      </c>
      <c r="H180" s="28">
        <f t="shared" si="3"/>
        <v>36.45216255</v>
      </c>
    </row>
    <row r="181" ht="12.75" customHeight="1">
      <c r="A181" s="49">
        <f t="shared" si="4"/>
        <v>176</v>
      </c>
      <c r="B181" s="50" t="s">
        <v>217</v>
      </c>
      <c r="C181" s="29"/>
      <c r="D181" s="53"/>
      <c r="E181" s="28">
        <f t="shared" si="5"/>
        <v>2781.449114</v>
      </c>
      <c r="F181" s="52">
        <f t="shared" si="6"/>
        <v>35.8018936</v>
      </c>
      <c r="G181" s="28">
        <f t="shared" si="2"/>
        <v>2781.449114</v>
      </c>
      <c r="H181" s="28">
        <f t="shared" si="3"/>
        <v>35.8018936</v>
      </c>
    </row>
    <row r="182" ht="12.75" customHeight="1">
      <c r="A182" s="49">
        <f t="shared" si="4"/>
        <v>177</v>
      </c>
      <c r="B182" s="50" t="s">
        <v>218</v>
      </c>
      <c r="C182" s="29"/>
      <c r="D182" s="53"/>
      <c r="E182" s="28">
        <f t="shared" si="5"/>
        <v>2731.830933</v>
      </c>
      <c r="F182" s="52">
        <f t="shared" si="6"/>
        <v>35.16322478</v>
      </c>
      <c r="G182" s="28">
        <f t="shared" si="2"/>
        <v>2731.830933</v>
      </c>
      <c r="H182" s="28">
        <f t="shared" si="3"/>
        <v>35.16322478</v>
      </c>
    </row>
    <row r="183" ht="12.75" customHeight="1">
      <c r="A183" s="49">
        <f t="shared" si="4"/>
        <v>178</v>
      </c>
      <c r="B183" s="50" t="s">
        <v>219</v>
      </c>
      <c r="C183" s="29"/>
      <c r="D183" s="53"/>
      <c r="E183" s="28">
        <f t="shared" si="5"/>
        <v>2683.097889</v>
      </c>
      <c r="F183" s="52">
        <f t="shared" si="6"/>
        <v>34.53594915</v>
      </c>
      <c r="G183" s="28">
        <f t="shared" si="2"/>
        <v>2683.097889</v>
      </c>
      <c r="H183" s="28">
        <f t="shared" si="3"/>
        <v>34.53594915</v>
      </c>
    </row>
    <row r="184" ht="12.75" customHeight="1">
      <c r="A184" s="49">
        <f t="shared" si="4"/>
        <v>179</v>
      </c>
      <c r="B184" s="50" t="s">
        <v>220</v>
      </c>
      <c r="C184" s="29"/>
      <c r="D184" s="53"/>
      <c r="E184" s="28">
        <f t="shared" si="5"/>
        <v>2635.234193</v>
      </c>
      <c r="F184" s="52">
        <f t="shared" si="6"/>
        <v>33.91986347</v>
      </c>
      <c r="G184" s="28">
        <f t="shared" si="2"/>
        <v>2635.234193</v>
      </c>
      <c r="H184" s="28">
        <f t="shared" si="3"/>
        <v>33.91986347</v>
      </c>
    </row>
    <row r="185" ht="12.75" customHeight="1">
      <c r="A185" s="49">
        <f t="shared" si="4"/>
        <v>180</v>
      </c>
      <c r="B185" s="50" t="s">
        <v>221</v>
      </c>
      <c r="C185" s="29"/>
      <c r="D185" s="53"/>
      <c r="E185" s="28">
        <f t="shared" si="5"/>
        <v>2588.224335</v>
      </c>
      <c r="F185" s="52">
        <f t="shared" si="6"/>
        <v>33.31476812</v>
      </c>
      <c r="G185" s="28">
        <f t="shared" si="2"/>
        <v>2588.224335</v>
      </c>
      <c r="H185" s="28">
        <f t="shared" si="3"/>
        <v>33.31476812</v>
      </c>
    </row>
    <row r="186" ht="12.75" customHeight="1">
      <c r="A186" s="49">
        <f t="shared" si="4"/>
        <v>181</v>
      </c>
      <c r="B186" s="50" t="s">
        <v>222</v>
      </c>
      <c r="C186" s="29"/>
      <c r="D186" s="53"/>
      <c r="E186" s="28">
        <f t="shared" si="5"/>
        <v>2542.053085</v>
      </c>
      <c r="F186" s="52">
        <f t="shared" si="6"/>
        <v>32.72046705</v>
      </c>
      <c r="G186" s="28">
        <f t="shared" si="2"/>
        <v>2542.053085</v>
      </c>
      <c r="H186" s="28">
        <f t="shared" si="3"/>
        <v>32.72046705</v>
      </c>
    </row>
    <row r="187" ht="12.75" customHeight="1">
      <c r="A187" s="49">
        <f t="shared" si="4"/>
        <v>182</v>
      </c>
      <c r="B187" s="50" t="s">
        <v>223</v>
      </c>
      <c r="C187" s="29"/>
      <c r="D187" s="53"/>
      <c r="E187" s="28">
        <f t="shared" si="5"/>
        <v>2496.705483</v>
      </c>
      <c r="F187" s="52">
        <f t="shared" si="6"/>
        <v>32.1367677</v>
      </c>
      <c r="G187" s="28">
        <f t="shared" si="2"/>
        <v>2496.705483</v>
      </c>
      <c r="H187" s="28">
        <f t="shared" si="3"/>
        <v>32.1367677</v>
      </c>
    </row>
    <row r="188" ht="12.75" customHeight="1">
      <c r="A188" s="49">
        <f t="shared" si="4"/>
        <v>183</v>
      </c>
      <c r="B188" s="50" t="s">
        <v>224</v>
      </c>
      <c r="C188" s="29"/>
      <c r="D188" s="53"/>
      <c r="E188" s="28">
        <f t="shared" si="5"/>
        <v>2452.166834</v>
      </c>
      <c r="F188" s="52">
        <f t="shared" si="6"/>
        <v>31.56348094</v>
      </c>
      <c r="G188" s="28">
        <f t="shared" si="2"/>
        <v>2452.166834</v>
      </c>
      <c r="H188" s="28">
        <f t="shared" si="3"/>
        <v>31.56348094</v>
      </c>
    </row>
    <row r="189" ht="12.75" customHeight="1">
      <c r="A189" s="49">
        <f t="shared" si="4"/>
        <v>184</v>
      </c>
      <c r="B189" s="50" t="s">
        <v>225</v>
      </c>
      <c r="C189" s="29"/>
      <c r="D189" s="53"/>
      <c r="E189" s="28">
        <f t="shared" si="5"/>
        <v>2408.422709</v>
      </c>
      <c r="F189" s="52">
        <f t="shared" si="6"/>
        <v>31.00042102</v>
      </c>
      <c r="G189" s="28">
        <f t="shared" si="2"/>
        <v>2408.422709</v>
      </c>
      <c r="H189" s="28">
        <f t="shared" si="3"/>
        <v>31.00042102</v>
      </c>
    </row>
    <row r="190" ht="12.75" customHeight="1">
      <c r="A190" s="49">
        <f t="shared" si="4"/>
        <v>185</v>
      </c>
      <c r="B190" s="50" t="s">
        <v>226</v>
      </c>
      <c r="C190" s="29"/>
      <c r="D190" s="53"/>
      <c r="E190" s="28">
        <f t="shared" si="5"/>
        <v>2365.458935</v>
      </c>
      <c r="F190" s="52">
        <f t="shared" si="6"/>
        <v>30.44740552</v>
      </c>
      <c r="G190" s="28">
        <f t="shared" si="2"/>
        <v>2365.458935</v>
      </c>
      <c r="H190" s="28">
        <f t="shared" si="3"/>
        <v>30.44740552</v>
      </c>
    </row>
    <row r="191" ht="12.75" customHeight="1">
      <c r="A191" s="49">
        <f t="shared" si="4"/>
        <v>186</v>
      </c>
      <c r="B191" s="50" t="s">
        <v>227</v>
      </c>
      <c r="C191" s="29"/>
      <c r="D191" s="53"/>
      <c r="E191" s="28">
        <f t="shared" si="5"/>
        <v>2323.261589</v>
      </c>
      <c r="F191" s="52">
        <f t="shared" si="6"/>
        <v>29.90425524</v>
      </c>
      <c r="G191" s="28">
        <f t="shared" si="2"/>
        <v>2323.261589</v>
      </c>
      <c r="H191" s="28">
        <f t="shared" si="3"/>
        <v>29.90425524</v>
      </c>
    </row>
    <row r="192" ht="12.75" customHeight="1">
      <c r="A192" s="49">
        <f t="shared" si="4"/>
        <v>187</v>
      </c>
      <c r="B192" s="50" t="s">
        <v>228</v>
      </c>
      <c r="C192" s="29"/>
      <c r="D192" s="53"/>
      <c r="E192" s="28">
        <f t="shared" si="5"/>
        <v>2281.817001</v>
      </c>
      <c r="F192" s="52">
        <f t="shared" si="6"/>
        <v>29.37079419</v>
      </c>
      <c r="G192" s="28">
        <f t="shared" si="2"/>
        <v>2281.817001</v>
      </c>
      <c r="H192" s="28">
        <f t="shared" si="3"/>
        <v>29.37079419</v>
      </c>
    </row>
    <row r="193" ht="12.75" customHeight="1">
      <c r="A193" s="49">
        <f t="shared" si="4"/>
        <v>188</v>
      </c>
      <c r="B193" s="50" t="s">
        <v>229</v>
      </c>
      <c r="C193" s="29"/>
      <c r="D193" s="53"/>
      <c r="E193" s="28">
        <f t="shared" si="5"/>
        <v>2241.111741</v>
      </c>
      <c r="F193" s="52">
        <f t="shared" si="6"/>
        <v>28.84684955</v>
      </c>
      <c r="G193" s="28">
        <f t="shared" si="2"/>
        <v>2241.111741</v>
      </c>
      <c r="H193" s="28">
        <f t="shared" si="3"/>
        <v>28.84684955</v>
      </c>
    </row>
    <row r="194" ht="12.75" customHeight="1">
      <c r="A194" s="49">
        <f t="shared" si="4"/>
        <v>189</v>
      </c>
      <c r="B194" s="50" t="s">
        <v>230</v>
      </c>
      <c r="C194" s="29"/>
      <c r="D194" s="53"/>
      <c r="E194" s="28">
        <f t="shared" si="5"/>
        <v>2201.132621</v>
      </c>
      <c r="F194" s="52">
        <f t="shared" si="6"/>
        <v>28.33225153</v>
      </c>
      <c r="G194" s="28">
        <f t="shared" si="2"/>
        <v>2201.132621</v>
      </c>
      <c r="H194" s="28">
        <f t="shared" si="3"/>
        <v>28.33225153</v>
      </c>
    </row>
    <row r="195" ht="12.75" customHeight="1">
      <c r="A195" s="49">
        <f t="shared" si="4"/>
        <v>190</v>
      </c>
      <c r="B195" s="50" t="s">
        <v>231</v>
      </c>
      <c r="C195" s="29"/>
      <c r="D195" s="53"/>
      <c r="E195" s="28">
        <f t="shared" si="5"/>
        <v>2161.866688</v>
      </c>
      <c r="F195" s="52">
        <f t="shared" si="6"/>
        <v>27.82683341</v>
      </c>
      <c r="G195" s="28">
        <f t="shared" si="2"/>
        <v>2161.866688</v>
      </c>
      <c r="H195" s="28">
        <f t="shared" si="3"/>
        <v>27.82683341</v>
      </c>
    </row>
    <row r="196" ht="12.75" customHeight="1">
      <c r="A196" s="49">
        <f t="shared" si="4"/>
        <v>191</v>
      </c>
      <c r="B196" s="50" t="s">
        <v>232</v>
      </c>
      <c r="C196" s="29"/>
      <c r="D196" s="53"/>
      <c r="E196" s="28">
        <f t="shared" si="5"/>
        <v>2123.301218</v>
      </c>
      <c r="F196" s="52">
        <f t="shared" si="6"/>
        <v>27.33043143</v>
      </c>
      <c r="G196" s="28">
        <f t="shared" si="2"/>
        <v>2123.301218</v>
      </c>
      <c r="H196" s="28">
        <f t="shared" si="3"/>
        <v>27.33043143</v>
      </c>
    </row>
    <row r="197" ht="12.75" customHeight="1">
      <c r="A197" s="49">
        <f t="shared" si="4"/>
        <v>192</v>
      </c>
      <c r="B197" s="50" t="s">
        <v>233</v>
      </c>
      <c r="C197" s="29"/>
      <c r="D197" s="53"/>
      <c r="E197" s="28">
        <f t="shared" si="5"/>
        <v>2085.423716</v>
      </c>
      <c r="F197" s="52">
        <f t="shared" si="6"/>
        <v>26.84288475</v>
      </c>
      <c r="G197" s="28">
        <f t="shared" si="2"/>
        <v>2085.423716</v>
      </c>
      <c r="H197" s="28">
        <f t="shared" si="3"/>
        <v>26.84288475</v>
      </c>
    </row>
    <row r="198" ht="12.75" customHeight="1">
      <c r="A198" s="49">
        <f t="shared" si="4"/>
        <v>193</v>
      </c>
      <c r="B198" s="50" t="s">
        <v>234</v>
      </c>
      <c r="C198" s="29"/>
      <c r="D198" s="53"/>
      <c r="E198" s="28">
        <f t="shared" si="5"/>
        <v>2048.22191</v>
      </c>
      <c r="F198" s="52">
        <f t="shared" si="6"/>
        <v>26.3640354</v>
      </c>
      <c r="G198" s="28">
        <f t="shared" si="2"/>
        <v>2048.22191</v>
      </c>
      <c r="H198" s="28">
        <f t="shared" si="3"/>
        <v>26.3640354</v>
      </c>
    </row>
    <row r="199" ht="12.75" customHeight="1">
      <c r="A199" s="49">
        <f t="shared" si="4"/>
        <v>194</v>
      </c>
      <c r="B199" s="50" t="s">
        <v>235</v>
      </c>
      <c r="C199" s="29"/>
      <c r="D199" s="53"/>
      <c r="E199" s="28">
        <f t="shared" si="5"/>
        <v>2011.683746</v>
      </c>
      <c r="F199" s="52">
        <f t="shared" si="6"/>
        <v>25.89372822</v>
      </c>
      <c r="G199" s="28">
        <f t="shared" si="2"/>
        <v>2011.683746</v>
      </c>
      <c r="H199" s="28">
        <f t="shared" si="3"/>
        <v>25.89372822</v>
      </c>
    </row>
    <row r="200" ht="12.75" customHeight="1">
      <c r="A200" s="49">
        <f t="shared" si="4"/>
        <v>195</v>
      </c>
      <c r="B200" s="50" t="s">
        <v>236</v>
      </c>
      <c r="C200" s="29"/>
      <c r="D200" s="53"/>
      <c r="E200" s="28">
        <f t="shared" si="5"/>
        <v>1975.797384</v>
      </c>
      <c r="F200" s="52">
        <f t="shared" si="6"/>
        <v>25.43181084</v>
      </c>
      <c r="G200" s="28">
        <f t="shared" si="2"/>
        <v>1975.797384</v>
      </c>
      <c r="H200" s="28">
        <f t="shared" si="3"/>
        <v>25.43181084</v>
      </c>
    </row>
    <row r="201" ht="12.75" customHeight="1">
      <c r="A201" s="49">
        <f t="shared" si="4"/>
        <v>196</v>
      </c>
      <c r="B201" s="50" t="s">
        <v>237</v>
      </c>
      <c r="C201" s="29"/>
      <c r="D201" s="53"/>
      <c r="E201" s="28">
        <f t="shared" si="5"/>
        <v>1940.551199</v>
      </c>
      <c r="F201" s="52">
        <f t="shared" si="6"/>
        <v>24.97813359</v>
      </c>
      <c r="G201" s="28">
        <f t="shared" si="2"/>
        <v>1940.551199</v>
      </c>
      <c r="H201" s="28">
        <f t="shared" si="3"/>
        <v>24.97813359</v>
      </c>
    </row>
    <row r="202" ht="12.75" customHeight="1">
      <c r="A202" s="49">
        <f t="shared" si="4"/>
        <v>197</v>
      </c>
      <c r="B202" s="50" t="s">
        <v>238</v>
      </c>
      <c r="C202" s="29"/>
      <c r="D202" s="53"/>
      <c r="E202" s="28">
        <f t="shared" si="5"/>
        <v>1905.933769</v>
      </c>
      <c r="F202" s="52">
        <f t="shared" si="6"/>
        <v>24.53254948</v>
      </c>
      <c r="G202" s="28">
        <f t="shared" si="2"/>
        <v>1905.933769</v>
      </c>
      <c r="H202" s="28">
        <f t="shared" si="3"/>
        <v>24.53254948</v>
      </c>
    </row>
    <row r="203" ht="12.75" customHeight="1">
      <c r="A203" s="49">
        <f t="shared" si="4"/>
        <v>198</v>
      </c>
      <c r="B203" s="50" t="s">
        <v>239</v>
      </c>
      <c r="C203" s="29"/>
      <c r="D203" s="53"/>
      <c r="E203" s="28">
        <f t="shared" si="5"/>
        <v>1871.933878</v>
      </c>
      <c r="F203" s="52">
        <f t="shared" si="6"/>
        <v>24.09491412</v>
      </c>
      <c r="G203" s="28">
        <f t="shared" si="2"/>
        <v>1871.933878</v>
      </c>
      <c r="H203" s="28">
        <f t="shared" si="3"/>
        <v>24.09491412</v>
      </c>
    </row>
    <row r="204" ht="12.75" customHeight="1">
      <c r="A204" s="49">
        <f t="shared" si="4"/>
        <v>199</v>
      </c>
      <c r="B204" s="50" t="s">
        <v>240</v>
      </c>
      <c r="C204" s="29"/>
      <c r="D204" s="53"/>
      <c r="E204" s="28">
        <f t="shared" si="5"/>
        <v>1838.54051</v>
      </c>
      <c r="F204" s="52">
        <f t="shared" si="6"/>
        <v>23.66508573</v>
      </c>
      <c r="G204" s="28">
        <f t="shared" si="2"/>
        <v>1838.54051</v>
      </c>
      <c r="H204" s="28">
        <f t="shared" si="3"/>
        <v>23.66508573</v>
      </c>
    </row>
    <row r="205" ht="12.75" customHeight="1">
      <c r="A205" s="49">
        <f t="shared" si="4"/>
        <v>200</v>
      </c>
      <c r="B205" s="50" t="s">
        <v>241</v>
      </c>
      <c r="C205" s="29"/>
      <c r="D205" s="53"/>
      <c r="E205" s="28">
        <f t="shared" si="5"/>
        <v>1805.742845</v>
      </c>
      <c r="F205" s="52">
        <f t="shared" si="6"/>
        <v>23.24292503</v>
      </c>
      <c r="G205" s="28">
        <f t="shared" si="2"/>
        <v>1805.742845</v>
      </c>
      <c r="H205" s="28">
        <f t="shared" si="3"/>
        <v>23.24292503</v>
      </c>
    </row>
    <row r="206" ht="12.75" customHeight="1">
      <c r="A206" s="49">
        <f t="shared" si="4"/>
        <v>201</v>
      </c>
      <c r="B206" s="50" t="s">
        <v>242</v>
      </c>
      <c r="C206" s="29"/>
      <c r="D206" s="53"/>
      <c r="E206" s="28">
        <f t="shared" si="5"/>
        <v>1773.530257</v>
      </c>
      <c r="F206" s="52">
        <f t="shared" si="6"/>
        <v>22.82829524</v>
      </c>
      <c r="G206" s="28">
        <f t="shared" si="2"/>
        <v>1773.530257</v>
      </c>
      <c r="H206" s="28">
        <f t="shared" si="3"/>
        <v>22.82829524</v>
      </c>
    </row>
    <row r="207" ht="12.75" customHeight="1">
      <c r="A207" s="49">
        <f t="shared" si="4"/>
        <v>202</v>
      </c>
      <c r="B207" s="50" t="s">
        <v>243</v>
      </c>
      <c r="C207" s="29"/>
      <c r="D207" s="53"/>
      <c r="E207" s="28">
        <f t="shared" si="5"/>
        <v>1741.892308</v>
      </c>
      <c r="F207" s="52">
        <f t="shared" si="6"/>
        <v>22.42106202</v>
      </c>
      <c r="G207" s="28">
        <f t="shared" si="2"/>
        <v>1741.892308</v>
      </c>
      <c r="H207" s="28">
        <f t="shared" si="3"/>
        <v>22.42106202</v>
      </c>
    </row>
    <row r="208" ht="12.75" customHeight="1">
      <c r="A208" s="49">
        <f t="shared" si="4"/>
        <v>203</v>
      </c>
      <c r="B208" s="50" t="s">
        <v>244</v>
      </c>
      <c r="C208" s="29"/>
      <c r="D208" s="53"/>
      <c r="E208" s="28">
        <f t="shared" si="5"/>
        <v>1710.818748</v>
      </c>
      <c r="F208" s="52">
        <f t="shared" si="6"/>
        <v>22.02109342</v>
      </c>
      <c r="G208" s="28">
        <f t="shared" si="2"/>
        <v>1710.818748</v>
      </c>
      <c r="H208" s="28">
        <f t="shared" si="3"/>
        <v>22.02109342</v>
      </c>
    </row>
    <row r="209" ht="12.75" customHeight="1">
      <c r="A209" s="49">
        <f t="shared" si="4"/>
        <v>204</v>
      </c>
      <c r="B209" s="50" t="s">
        <v>245</v>
      </c>
      <c r="C209" s="29"/>
      <c r="D209" s="53"/>
      <c r="E209" s="28">
        <f t="shared" si="5"/>
        <v>1680.299508</v>
      </c>
      <c r="F209" s="52">
        <f t="shared" si="6"/>
        <v>21.62825985</v>
      </c>
      <c r="G209" s="28">
        <f t="shared" si="2"/>
        <v>1680.299508</v>
      </c>
      <c r="H209" s="28">
        <f t="shared" si="3"/>
        <v>21.62825985</v>
      </c>
    </row>
    <row r="210" ht="12.75" customHeight="1">
      <c r="A210" s="49">
        <f t="shared" si="4"/>
        <v>205</v>
      </c>
      <c r="B210" s="50" t="s">
        <v>246</v>
      </c>
      <c r="C210" s="29"/>
      <c r="D210" s="53"/>
      <c r="E210" s="28">
        <f t="shared" si="5"/>
        <v>1650.324699</v>
      </c>
      <c r="F210" s="52">
        <f t="shared" si="6"/>
        <v>21.24243402</v>
      </c>
      <c r="G210" s="28">
        <f t="shared" si="2"/>
        <v>1650.324699</v>
      </c>
      <c r="H210" s="28">
        <f t="shared" si="3"/>
        <v>21.24243402</v>
      </c>
    </row>
    <row r="211" ht="12.75" customHeight="1">
      <c r="A211" s="49">
        <f t="shared" si="4"/>
        <v>206</v>
      </c>
      <c r="B211" s="50" t="s">
        <v>247</v>
      </c>
      <c r="C211" s="29"/>
      <c r="D211" s="53"/>
      <c r="E211" s="28">
        <f t="shared" si="5"/>
        <v>1620.88461</v>
      </c>
      <c r="F211" s="52">
        <f t="shared" si="6"/>
        <v>20.86349093</v>
      </c>
      <c r="G211" s="28">
        <f t="shared" si="2"/>
        <v>1620.88461</v>
      </c>
      <c r="H211" s="28">
        <f t="shared" si="3"/>
        <v>20.86349093</v>
      </c>
    </row>
    <row r="212" ht="12.75" customHeight="1">
      <c r="A212" s="49">
        <f t="shared" si="4"/>
        <v>207</v>
      </c>
      <c r="B212" s="50" t="s">
        <v>248</v>
      </c>
      <c r="C212" s="29"/>
      <c r="D212" s="53"/>
      <c r="E212" s="28">
        <f t="shared" si="5"/>
        <v>1591.969702</v>
      </c>
      <c r="F212" s="52">
        <f t="shared" si="6"/>
        <v>20.49130779</v>
      </c>
      <c r="G212" s="28">
        <f t="shared" si="2"/>
        <v>1591.969702</v>
      </c>
      <c r="H212" s="28">
        <f t="shared" si="3"/>
        <v>20.49130779</v>
      </c>
    </row>
    <row r="213" ht="12.75" customHeight="1">
      <c r="A213" s="49">
        <f t="shared" si="4"/>
        <v>208</v>
      </c>
      <c r="B213" s="50" t="s">
        <v>249</v>
      </c>
      <c r="C213" s="29"/>
      <c r="D213" s="53"/>
      <c r="E213" s="28">
        <f t="shared" si="5"/>
        <v>1563.570606</v>
      </c>
      <c r="F213" s="52">
        <f t="shared" si="6"/>
        <v>20.12576401</v>
      </c>
      <c r="G213" s="28">
        <f t="shared" si="2"/>
        <v>1563.570606</v>
      </c>
      <c r="H213" s="28">
        <f t="shared" si="3"/>
        <v>20.12576401</v>
      </c>
    </row>
    <row r="214" ht="12.75" customHeight="1">
      <c r="A214" s="49">
        <f t="shared" si="4"/>
        <v>209</v>
      </c>
      <c r="B214" s="50" t="s">
        <v>250</v>
      </c>
      <c r="C214" s="29"/>
      <c r="D214" s="53"/>
      <c r="E214" s="28">
        <f t="shared" si="5"/>
        <v>1535.678121</v>
      </c>
      <c r="F214" s="52">
        <f t="shared" si="6"/>
        <v>19.76674116</v>
      </c>
      <c r="G214" s="28">
        <f t="shared" si="2"/>
        <v>1535.678121</v>
      </c>
      <c r="H214" s="28">
        <f t="shared" si="3"/>
        <v>19.76674116</v>
      </c>
    </row>
    <row r="215" ht="12.75" customHeight="1">
      <c r="A215" s="49">
        <f t="shared" si="4"/>
        <v>210</v>
      </c>
      <c r="B215" s="50" t="s">
        <v>251</v>
      </c>
      <c r="C215" s="29"/>
      <c r="D215" s="53"/>
      <c r="E215" s="28">
        <f t="shared" si="5"/>
        <v>1508.283208</v>
      </c>
      <c r="F215" s="52">
        <f t="shared" si="6"/>
        <v>19.4141229</v>
      </c>
      <c r="G215" s="28">
        <f t="shared" si="2"/>
        <v>1508.283208</v>
      </c>
      <c r="H215" s="28">
        <f t="shared" si="3"/>
        <v>19.4141229</v>
      </c>
    </row>
    <row r="216" ht="12.75" customHeight="1">
      <c r="A216" s="49">
        <f t="shared" si="4"/>
        <v>211</v>
      </c>
      <c r="B216" s="50" t="s">
        <v>252</v>
      </c>
      <c r="C216" s="29"/>
      <c r="D216" s="53"/>
      <c r="E216" s="28">
        <f t="shared" si="5"/>
        <v>1481.376993</v>
      </c>
      <c r="F216" s="52">
        <f t="shared" si="6"/>
        <v>19.06779499</v>
      </c>
      <c r="G216" s="28">
        <f t="shared" si="2"/>
        <v>1481.376993</v>
      </c>
      <c r="H216" s="28">
        <f t="shared" si="3"/>
        <v>19.06779499</v>
      </c>
    </row>
    <row r="217" ht="12.75" customHeight="1">
      <c r="A217" s="49">
        <f t="shared" si="4"/>
        <v>212</v>
      </c>
      <c r="B217" s="50" t="s">
        <v>253</v>
      </c>
      <c r="C217" s="29"/>
      <c r="D217" s="53"/>
      <c r="E217" s="28">
        <f t="shared" si="5"/>
        <v>1454.950757</v>
      </c>
      <c r="F217" s="52">
        <f t="shared" si="6"/>
        <v>18.72764521</v>
      </c>
      <c r="G217" s="28">
        <f t="shared" si="2"/>
        <v>1454.950757</v>
      </c>
      <c r="H217" s="28">
        <f t="shared" si="3"/>
        <v>18.72764521</v>
      </c>
    </row>
    <row r="218" ht="12.75" customHeight="1">
      <c r="A218" s="49">
        <f t="shared" si="4"/>
        <v>213</v>
      </c>
      <c r="B218" s="50" t="s">
        <v>254</v>
      </c>
      <c r="C218" s="29"/>
      <c r="D218" s="53"/>
      <c r="E218" s="28">
        <f t="shared" si="5"/>
        <v>1428.995937</v>
      </c>
      <c r="F218" s="52">
        <f t="shared" si="6"/>
        <v>18.39356336</v>
      </c>
      <c r="G218" s="28">
        <f t="shared" si="2"/>
        <v>1428.995937</v>
      </c>
      <c r="H218" s="28">
        <f t="shared" si="3"/>
        <v>18.39356336</v>
      </c>
    </row>
    <row r="219" ht="12.75" customHeight="1">
      <c r="A219" s="49">
        <f t="shared" si="4"/>
        <v>214</v>
      </c>
      <c r="B219" s="50" t="s">
        <v>255</v>
      </c>
      <c r="C219" s="29"/>
      <c r="D219" s="53"/>
      <c r="E219" s="28">
        <f t="shared" si="5"/>
        <v>1403.504125</v>
      </c>
      <c r="F219" s="52">
        <f t="shared" si="6"/>
        <v>18.06544117</v>
      </c>
      <c r="G219" s="28">
        <f t="shared" si="2"/>
        <v>1403.504125</v>
      </c>
      <c r="H219" s="28">
        <f t="shared" si="3"/>
        <v>18.06544117</v>
      </c>
    </row>
    <row r="220" ht="12.75" customHeight="1">
      <c r="A220" s="49">
        <f t="shared" si="4"/>
        <v>215</v>
      </c>
      <c r="B220" s="50" t="s">
        <v>256</v>
      </c>
      <c r="C220" s="29"/>
      <c r="D220" s="53"/>
      <c r="E220" s="28">
        <f t="shared" si="5"/>
        <v>1378.46706</v>
      </c>
      <c r="F220" s="52">
        <f t="shared" si="6"/>
        <v>17.74317235</v>
      </c>
      <c r="G220" s="28">
        <f t="shared" si="2"/>
        <v>1378.46706</v>
      </c>
      <c r="H220" s="28">
        <f t="shared" si="3"/>
        <v>17.74317235</v>
      </c>
    </row>
    <row r="221" ht="12.75" customHeight="1">
      <c r="A221" s="49">
        <f t="shared" si="4"/>
        <v>216</v>
      </c>
      <c r="B221" s="50" t="s">
        <v>257</v>
      </c>
      <c r="C221" s="29"/>
      <c r="D221" s="53"/>
      <c r="E221" s="28">
        <f t="shared" si="5"/>
        <v>1353.876631</v>
      </c>
      <c r="F221" s="52">
        <f t="shared" si="6"/>
        <v>17.42665248</v>
      </c>
      <c r="G221" s="28">
        <f t="shared" si="2"/>
        <v>1353.876631</v>
      </c>
      <c r="H221" s="28">
        <f t="shared" si="3"/>
        <v>17.42665248</v>
      </c>
    </row>
    <row r="222" ht="12.75" customHeight="1">
      <c r="A222" s="49">
        <f t="shared" si="4"/>
        <v>217</v>
      </c>
      <c r="B222" s="50" t="s">
        <v>258</v>
      </c>
      <c r="C222" s="29"/>
      <c r="D222" s="53"/>
      <c r="E222" s="28">
        <f t="shared" si="5"/>
        <v>1329.72487</v>
      </c>
      <c r="F222" s="52">
        <f t="shared" si="6"/>
        <v>17.11577899</v>
      </c>
      <c r="G222" s="28">
        <f t="shared" si="2"/>
        <v>1329.72487</v>
      </c>
      <c r="H222" s="28">
        <f t="shared" si="3"/>
        <v>17.11577899</v>
      </c>
    </row>
    <row r="223" ht="12.75" customHeight="1">
      <c r="A223" s="49">
        <f t="shared" si="4"/>
        <v>218</v>
      </c>
      <c r="B223" s="50" t="s">
        <v>259</v>
      </c>
      <c r="C223" s="29"/>
      <c r="D223" s="53"/>
      <c r="E223" s="28">
        <f t="shared" si="5"/>
        <v>1306.003951</v>
      </c>
      <c r="F223" s="52">
        <f t="shared" si="6"/>
        <v>16.81045116</v>
      </c>
      <c r="G223" s="28">
        <f t="shared" si="2"/>
        <v>1306.003951</v>
      </c>
      <c r="H223" s="28">
        <f t="shared" si="3"/>
        <v>16.81045116</v>
      </c>
    </row>
    <row r="224" ht="12.75" customHeight="1">
      <c r="A224" s="49">
        <f t="shared" si="4"/>
        <v>219</v>
      </c>
      <c r="B224" s="50" t="s">
        <v>260</v>
      </c>
      <c r="C224" s="29"/>
      <c r="D224" s="53"/>
      <c r="E224" s="28">
        <f t="shared" si="5"/>
        <v>1282.706188</v>
      </c>
      <c r="F224" s="52">
        <f t="shared" si="6"/>
        <v>16.51057007</v>
      </c>
      <c r="G224" s="28">
        <f t="shared" si="2"/>
        <v>1282.706188</v>
      </c>
      <c r="H224" s="28">
        <f t="shared" si="3"/>
        <v>16.51057007</v>
      </c>
    </row>
    <row r="225" ht="12.75" customHeight="1">
      <c r="A225" s="49">
        <f t="shared" si="4"/>
        <v>220</v>
      </c>
      <c r="B225" s="50" t="s">
        <v>261</v>
      </c>
      <c r="C225" s="29"/>
      <c r="D225" s="53"/>
      <c r="E225" s="28">
        <f t="shared" si="5"/>
        <v>1259.824034</v>
      </c>
      <c r="F225" s="52">
        <f t="shared" si="6"/>
        <v>16.21603854</v>
      </c>
      <c r="G225" s="28">
        <f t="shared" si="2"/>
        <v>1259.824034</v>
      </c>
      <c r="H225" s="28">
        <f t="shared" si="3"/>
        <v>16.21603854</v>
      </c>
    </row>
    <row r="226" ht="12.75" customHeight="1">
      <c r="A226" s="49">
        <f t="shared" si="4"/>
        <v>221</v>
      </c>
      <c r="B226" s="50" t="s">
        <v>262</v>
      </c>
      <c r="C226" s="29"/>
      <c r="D226" s="53"/>
      <c r="E226" s="28">
        <f t="shared" si="5"/>
        <v>1237.350074</v>
      </c>
      <c r="F226" s="52">
        <f t="shared" si="6"/>
        <v>15.92676115</v>
      </c>
      <c r="G226" s="28">
        <f t="shared" si="2"/>
        <v>1237.350074</v>
      </c>
      <c r="H226" s="28">
        <f t="shared" si="3"/>
        <v>15.92676115</v>
      </c>
    </row>
    <row r="227" ht="12.75" customHeight="1">
      <c r="A227" s="49">
        <f t="shared" si="4"/>
        <v>222</v>
      </c>
      <c r="B227" s="50" t="s">
        <v>263</v>
      </c>
      <c r="C227" s="29"/>
      <c r="D227" s="53"/>
      <c r="E227" s="28">
        <f t="shared" si="5"/>
        <v>1215.277026</v>
      </c>
      <c r="F227" s="52">
        <f t="shared" si="6"/>
        <v>15.64264418</v>
      </c>
      <c r="G227" s="28">
        <f t="shared" si="2"/>
        <v>1215.277026</v>
      </c>
      <c r="H227" s="28">
        <f t="shared" si="3"/>
        <v>15.64264418</v>
      </c>
    </row>
    <row r="228" ht="12.75" customHeight="1">
      <c r="A228" s="49">
        <f t="shared" si="4"/>
        <v>223</v>
      </c>
      <c r="B228" s="50" t="s">
        <v>264</v>
      </c>
      <c r="C228" s="29"/>
      <c r="D228" s="53"/>
      <c r="E228" s="28">
        <f t="shared" si="5"/>
        <v>1193.597739</v>
      </c>
      <c r="F228" s="52">
        <f t="shared" si="6"/>
        <v>15.36359555</v>
      </c>
      <c r="G228" s="28">
        <f t="shared" si="2"/>
        <v>1193.597739</v>
      </c>
      <c r="H228" s="28">
        <f t="shared" si="3"/>
        <v>15.36359555</v>
      </c>
    </row>
    <row r="229" ht="12.75" customHeight="1">
      <c r="A229" s="49">
        <f t="shared" si="4"/>
        <v>224</v>
      </c>
      <c r="B229" s="50" t="s">
        <v>265</v>
      </c>
      <c r="C229" s="29"/>
      <c r="D229" s="53"/>
      <c r="E229" s="28">
        <f t="shared" si="5"/>
        <v>1172.305187</v>
      </c>
      <c r="F229" s="52">
        <f t="shared" si="6"/>
        <v>15.08952487</v>
      </c>
      <c r="G229" s="28">
        <f t="shared" si="2"/>
        <v>1172.305187</v>
      </c>
      <c r="H229" s="28">
        <f t="shared" si="3"/>
        <v>15.08952487</v>
      </c>
    </row>
    <row r="230" ht="12.75" customHeight="1">
      <c r="A230" s="49">
        <f t="shared" si="4"/>
        <v>225</v>
      </c>
      <c r="B230" s="50" t="s">
        <v>266</v>
      </c>
      <c r="C230" s="29"/>
      <c r="D230" s="53"/>
      <c r="E230" s="28">
        <f t="shared" si="5"/>
        <v>1151.392473</v>
      </c>
      <c r="F230" s="52">
        <f t="shared" si="6"/>
        <v>14.82034332</v>
      </c>
      <c r="G230" s="28">
        <f t="shared" si="2"/>
        <v>1151.392473</v>
      </c>
      <c r="H230" s="28">
        <f t="shared" si="3"/>
        <v>14.82034332</v>
      </c>
    </row>
    <row r="231" ht="12.75" customHeight="1">
      <c r="A231" s="49">
        <f t="shared" si="4"/>
        <v>226</v>
      </c>
      <c r="B231" s="50" t="s">
        <v>267</v>
      </c>
      <c r="C231" s="29"/>
      <c r="D231" s="53"/>
      <c r="E231" s="28">
        <f t="shared" si="5"/>
        <v>1130.85282</v>
      </c>
      <c r="F231" s="52">
        <f t="shared" si="6"/>
        <v>14.5559637</v>
      </c>
      <c r="G231" s="28">
        <f t="shared" si="2"/>
        <v>1130.85282</v>
      </c>
      <c r="H231" s="28">
        <f t="shared" si="3"/>
        <v>14.5559637</v>
      </c>
    </row>
    <row r="232" ht="12.75" customHeight="1">
      <c r="A232" s="49">
        <f t="shared" si="4"/>
        <v>227</v>
      </c>
      <c r="B232" s="50" t="s">
        <v>268</v>
      </c>
      <c r="C232" s="29"/>
      <c r="D232" s="53"/>
      <c r="E232" s="28">
        <f t="shared" si="5"/>
        <v>1110.679573</v>
      </c>
      <c r="F232" s="52">
        <f t="shared" si="6"/>
        <v>14.29630033</v>
      </c>
      <c r="G232" s="28">
        <f t="shared" si="2"/>
        <v>1110.679573</v>
      </c>
      <c r="H232" s="28">
        <f t="shared" si="3"/>
        <v>14.29630033</v>
      </c>
    </row>
    <row r="233" ht="12.75" customHeight="1">
      <c r="A233" s="49">
        <f t="shared" si="4"/>
        <v>228</v>
      </c>
      <c r="B233" s="50" t="s">
        <v>269</v>
      </c>
      <c r="C233" s="29"/>
      <c r="D233" s="53"/>
      <c r="E233" s="28">
        <f t="shared" si="5"/>
        <v>1090.866196</v>
      </c>
      <c r="F233" s="52">
        <f t="shared" si="6"/>
        <v>14.04126909</v>
      </c>
      <c r="G233" s="28">
        <f t="shared" si="2"/>
        <v>1090.866196</v>
      </c>
      <c r="H233" s="28">
        <f t="shared" si="3"/>
        <v>14.04126909</v>
      </c>
    </row>
    <row r="234" ht="12.75" customHeight="1">
      <c r="A234" s="49">
        <f t="shared" si="4"/>
        <v>229</v>
      </c>
      <c r="B234" s="50" t="s">
        <v>270</v>
      </c>
      <c r="C234" s="29"/>
      <c r="D234" s="53"/>
      <c r="E234" s="28">
        <f t="shared" si="5"/>
        <v>1071.406269</v>
      </c>
      <c r="F234" s="52">
        <f t="shared" si="6"/>
        <v>13.79078735</v>
      </c>
      <c r="G234" s="28">
        <f t="shared" si="2"/>
        <v>1071.406269</v>
      </c>
      <c r="H234" s="28">
        <f t="shared" si="3"/>
        <v>13.79078735</v>
      </c>
    </row>
    <row r="235" ht="12.75" customHeight="1">
      <c r="A235" s="49">
        <f t="shared" si="4"/>
        <v>230</v>
      </c>
      <c r="B235" s="50" t="s">
        <v>271</v>
      </c>
      <c r="C235" s="29"/>
      <c r="D235" s="53"/>
      <c r="E235" s="28">
        <f t="shared" si="5"/>
        <v>1052.293487</v>
      </c>
      <c r="F235" s="52">
        <f t="shared" si="6"/>
        <v>13.54477394</v>
      </c>
      <c r="G235" s="28">
        <f t="shared" si="2"/>
        <v>1052.293487</v>
      </c>
      <c r="H235" s="28">
        <f t="shared" si="3"/>
        <v>13.54477394</v>
      </c>
    </row>
    <row r="236" ht="12.75" customHeight="1">
      <c r="A236" s="49">
        <f t="shared" si="4"/>
        <v>231</v>
      </c>
      <c r="B236" s="50" t="s">
        <v>272</v>
      </c>
      <c r="C236" s="29"/>
      <c r="D236" s="53"/>
      <c r="E236" s="28">
        <f t="shared" si="5"/>
        <v>1033.521658</v>
      </c>
      <c r="F236" s="52">
        <f t="shared" si="6"/>
        <v>13.30314916</v>
      </c>
      <c r="G236" s="28">
        <f t="shared" si="2"/>
        <v>1033.521658</v>
      </c>
      <c r="H236" s="28">
        <f t="shared" si="3"/>
        <v>13.30314916</v>
      </c>
    </row>
    <row r="237" ht="12.75" customHeight="1">
      <c r="A237" s="49">
        <f t="shared" si="4"/>
        <v>232</v>
      </c>
      <c r="B237" s="50" t="s">
        <v>273</v>
      </c>
      <c r="C237" s="29"/>
      <c r="D237" s="53"/>
      <c r="E237" s="28">
        <f t="shared" si="5"/>
        <v>1015.084698</v>
      </c>
      <c r="F237" s="52">
        <f t="shared" si="6"/>
        <v>13.06583471</v>
      </c>
      <c r="G237" s="28">
        <f t="shared" si="2"/>
        <v>1015.084698</v>
      </c>
      <c r="H237" s="28">
        <f t="shared" si="3"/>
        <v>13.06583471</v>
      </c>
    </row>
    <row r="238" ht="12.75" customHeight="1">
      <c r="A238" s="49">
        <f t="shared" si="4"/>
        <v>233</v>
      </c>
      <c r="B238" s="50" t="s">
        <v>274</v>
      </c>
      <c r="C238" s="29"/>
      <c r="D238" s="53"/>
      <c r="E238" s="28">
        <f t="shared" si="5"/>
        <v>996.9766354</v>
      </c>
      <c r="F238" s="52">
        <f t="shared" si="6"/>
        <v>12.83275371</v>
      </c>
      <c r="G238" s="28">
        <f t="shared" si="2"/>
        <v>996.9766354</v>
      </c>
      <c r="H238" s="28">
        <f t="shared" si="3"/>
        <v>12.83275371</v>
      </c>
    </row>
    <row r="239" ht="12.75" customHeight="1">
      <c r="A239" s="49">
        <f t="shared" si="4"/>
        <v>234</v>
      </c>
      <c r="B239" s="50" t="s">
        <v>275</v>
      </c>
      <c r="C239" s="29"/>
      <c r="D239" s="53"/>
      <c r="E239" s="28">
        <f t="shared" si="5"/>
        <v>979.1916015</v>
      </c>
      <c r="F239" s="52">
        <f t="shared" si="6"/>
        <v>12.60383063</v>
      </c>
      <c r="G239" s="28">
        <f t="shared" si="2"/>
        <v>979.1916015</v>
      </c>
      <c r="H239" s="28">
        <f t="shared" si="3"/>
        <v>12.60383063</v>
      </c>
    </row>
    <row r="240" ht="12.75" customHeight="1">
      <c r="A240" s="49">
        <f t="shared" si="4"/>
        <v>235</v>
      </c>
      <c r="B240" s="50" t="s">
        <v>276</v>
      </c>
      <c r="C240" s="29"/>
      <c r="D240" s="53"/>
      <c r="E240" s="28">
        <f t="shared" si="5"/>
        <v>961.7238342</v>
      </c>
      <c r="F240" s="52">
        <f t="shared" si="6"/>
        <v>12.3789913</v>
      </c>
      <c r="G240" s="28">
        <f t="shared" si="2"/>
        <v>961.7238342</v>
      </c>
      <c r="H240" s="28">
        <f t="shared" si="3"/>
        <v>12.3789913</v>
      </c>
    </row>
    <row r="241" ht="12.75" customHeight="1">
      <c r="A241" s="49">
        <f t="shared" si="4"/>
        <v>236</v>
      </c>
      <c r="B241" s="50" t="s">
        <v>277</v>
      </c>
      <c r="C241" s="29"/>
      <c r="D241" s="53"/>
      <c r="E241" s="28">
        <f t="shared" si="5"/>
        <v>944.5676738</v>
      </c>
      <c r="F241" s="52">
        <f t="shared" si="6"/>
        <v>12.15816288</v>
      </c>
      <c r="G241" s="28">
        <f t="shared" si="2"/>
        <v>944.5676738</v>
      </c>
      <c r="H241" s="28">
        <f t="shared" si="3"/>
        <v>12.15816288</v>
      </c>
    </row>
    <row r="242" ht="12.75" customHeight="1">
      <c r="A242" s="49">
        <f t="shared" si="4"/>
        <v>237</v>
      </c>
      <c r="B242" s="50" t="s">
        <v>278</v>
      </c>
      <c r="C242" s="29"/>
      <c r="D242" s="53"/>
      <c r="E242" s="28">
        <f t="shared" si="5"/>
        <v>927.7175616</v>
      </c>
      <c r="F242" s="52">
        <f t="shared" si="6"/>
        <v>11.9412738</v>
      </c>
      <c r="G242" s="28">
        <f t="shared" si="2"/>
        <v>927.7175616</v>
      </c>
      <c r="H242" s="28">
        <f t="shared" si="3"/>
        <v>11.9412738</v>
      </c>
    </row>
    <row r="243" ht="12.75" customHeight="1">
      <c r="A243" s="49">
        <f t="shared" si="4"/>
        <v>238</v>
      </c>
      <c r="B243" s="50" t="s">
        <v>279</v>
      </c>
      <c r="C243" s="29"/>
      <c r="D243" s="53"/>
      <c r="E243" s="28">
        <f t="shared" si="5"/>
        <v>911.1680381</v>
      </c>
      <c r="F243" s="52">
        <f t="shared" si="6"/>
        <v>11.7282538</v>
      </c>
      <c r="G243" s="28">
        <f t="shared" si="2"/>
        <v>911.1680381</v>
      </c>
      <c r="H243" s="28">
        <f t="shared" si="3"/>
        <v>11.7282538</v>
      </c>
    </row>
    <row r="244" ht="12.75" customHeight="1">
      <c r="A244" s="49">
        <f t="shared" si="4"/>
        <v>239</v>
      </c>
      <c r="B244" s="50" t="s">
        <v>280</v>
      </c>
      <c r="C244" s="29"/>
      <c r="D244" s="53"/>
      <c r="E244" s="28">
        <f t="shared" si="5"/>
        <v>894.9137409</v>
      </c>
      <c r="F244" s="52">
        <f t="shared" si="6"/>
        <v>11.51903386</v>
      </c>
      <c r="G244" s="28">
        <f t="shared" si="2"/>
        <v>894.9137409</v>
      </c>
      <c r="H244" s="28">
        <f t="shared" si="3"/>
        <v>11.51903386</v>
      </c>
    </row>
    <row r="245" ht="12.75" customHeight="1">
      <c r="A245" s="49">
        <f t="shared" si="4"/>
        <v>240</v>
      </c>
      <c r="B245" s="50" t="s">
        <v>281</v>
      </c>
      <c r="C245" s="29"/>
      <c r="D245" s="53"/>
      <c r="E245" s="28">
        <f t="shared" si="5"/>
        <v>878.9494037</v>
      </c>
      <c r="F245" s="52">
        <f t="shared" si="6"/>
        <v>11.31354619</v>
      </c>
      <c r="G245" s="28">
        <f t="shared" si="2"/>
        <v>878.9494037</v>
      </c>
      <c r="H245" s="28">
        <f t="shared" si="3"/>
        <v>11.31354619</v>
      </c>
    </row>
    <row r="246" ht="12.75" customHeight="1">
      <c r="A246" s="49">
        <f t="shared" si="4"/>
        <v>241</v>
      </c>
      <c r="B246" s="50" t="s">
        <v>282</v>
      </c>
      <c r="C246" s="29"/>
      <c r="D246" s="53"/>
      <c r="E246" s="28">
        <f t="shared" si="5"/>
        <v>863.2698537</v>
      </c>
      <c r="F246" s="52">
        <f t="shared" si="6"/>
        <v>11.11172421</v>
      </c>
      <c r="G246" s="28">
        <f t="shared" si="2"/>
        <v>863.2698537</v>
      </c>
      <c r="H246" s="28">
        <f t="shared" si="3"/>
        <v>11.11172421</v>
      </c>
    </row>
    <row r="247" ht="12.75" customHeight="1">
      <c r="A247" s="49">
        <f t="shared" si="4"/>
        <v>242</v>
      </c>
      <c r="B247" s="50" t="s">
        <v>283</v>
      </c>
      <c r="C247" s="29"/>
      <c r="D247" s="53"/>
      <c r="E247" s="28">
        <f t="shared" si="5"/>
        <v>847.8700107</v>
      </c>
      <c r="F247" s="52">
        <f t="shared" si="6"/>
        <v>10.91350252</v>
      </c>
      <c r="G247" s="28">
        <f t="shared" si="2"/>
        <v>847.8700107</v>
      </c>
      <c r="H247" s="28">
        <f t="shared" si="3"/>
        <v>10.91350252</v>
      </c>
    </row>
    <row r="248" ht="12.75" customHeight="1">
      <c r="A248" s="49">
        <f t="shared" si="4"/>
        <v>243</v>
      </c>
      <c r="B248" s="50" t="s">
        <v>284</v>
      </c>
      <c r="C248" s="29"/>
      <c r="D248" s="53"/>
      <c r="E248" s="28">
        <f t="shared" si="5"/>
        <v>832.744885</v>
      </c>
      <c r="F248" s="52">
        <f t="shared" si="6"/>
        <v>10.7188169</v>
      </c>
      <c r="G248" s="28">
        <f t="shared" si="2"/>
        <v>832.744885</v>
      </c>
      <c r="H248" s="28">
        <f t="shared" si="3"/>
        <v>10.7188169</v>
      </c>
    </row>
    <row r="249" ht="12.75" customHeight="1">
      <c r="A249" s="49">
        <f t="shared" si="4"/>
        <v>244</v>
      </c>
      <c r="B249" s="50" t="s">
        <v>285</v>
      </c>
      <c r="C249" s="29"/>
      <c r="D249" s="53"/>
      <c r="E249" s="28">
        <f t="shared" si="5"/>
        <v>817.889576</v>
      </c>
      <c r="F249" s="52">
        <f t="shared" si="6"/>
        <v>10.52760427</v>
      </c>
      <c r="G249" s="28">
        <f t="shared" si="2"/>
        <v>817.889576</v>
      </c>
      <c r="H249" s="28">
        <f t="shared" si="3"/>
        <v>10.52760427</v>
      </c>
    </row>
    <row r="250" ht="12.75" customHeight="1">
      <c r="A250" s="49">
        <f t="shared" si="4"/>
        <v>245</v>
      </c>
      <c r="B250" s="50" t="s">
        <v>286</v>
      </c>
      <c r="C250" s="29"/>
      <c r="D250" s="53"/>
      <c r="E250" s="28">
        <f t="shared" si="5"/>
        <v>803.2992703</v>
      </c>
      <c r="F250" s="52">
        <f t="shared" si="6"/>
        <v>10.33980268</v>
      </c>
      <c r="G250" s="28">
        <f t="shared" si="2"/>
        <v>803.2992703</v>
      </c>
      <c r="H250" s="28">
        <f t="shared" si="3"/>
        <v>10.33980268</v>
      </c>
    </row>
    <row r="251" ht="12.75" customHeight="1">
      <c r="A251" s="49">
        <f t="shared" si="4"/>
        <v>246</v>
      </c>
      <c r="B251" s="50" t="s">
        <v>287</v>
      </c>
      <c r="C251" s="29"/>
      <c r="D251" s="53"/>
      <c r="E251" s="28">
        <f t="shared" si="5"/>
        <v>788.9692406</v>
      </c>
      <c r="F251" s="52">
        <f t="shared" si="6"/>
        <v>10.15535128</v>
      </c>
      <c r="G251" s="28">
        <f t="shared" si="2"/>
        <v>788.9692406</v>
      </c>
      <c r="H251" s="28">
        <f t="shared" si="3"/>
        <v>10.15535128</v>
      </c>
    </row>
    <row r="252" ht="12.75" customHeight="1">
      <c r="A252" s="49">
        <f t="shared" si="4"/>
        <v>247</v>
      </c>
      <c r="B252" s="50" t="s">
        <v>288</v>
      </c>
      <c r="C252" s="29"/>
      <c r="D252" s="53"/>
      <c r="E252" s="28">
        <f t="shared" si="5"/>
        <v>774.8948438</v>
      </c>
      <c r="F252" s="52">
        <f t="shared" si="6"/>
        <v>9.974190293</v>
      </c>
      <c r="G252" s="28">
        <f t="shared" si="2"/>
        <v>774.8948438</v>
      </c>
      <c r="H252" s="28">
        <f t="shared" si="3"/>
        <v>9.974190293</v>
      </c>
    </row>
    <row r="253" ht="12.75" customHeight="1">
      <c r="A253" s="49">
        <f t="shared" si="4"/>
        <v>248</v>
      </c>
      <c r="B253" s="50" t="s">
        <v>289</v>
      </c>
      <c r="C253" s="29"/>
      <c r="D253" s="53"/>
      <c r="E253" s="28">
        <f t="shared" si="5"/>
        <v>761.0715198</v>
      </c>
      <c r="F253" s="52">
        <f t="shared" si="6"/>
        <v>9.796261035</v>
      </c>
      <c r="G253" s="28">
        <f t="shared" si="2"/>
        <v>761.0715198</v>
      </c>
      <c r="H253" s="28">
        <f t="shared" si="3"/>
        <v>9.796261035</v>
      </c>
    </row>
    <row r="254" ht="12.75" customHeight="1">
      <c r="A254" s="49">
        <f t="shared" si="4"/>
        <v>249</v>
      </c>
      <c r="B254" s="50" t="s">
        <v>290</v>
      </c>
      <c r="C254" s="29"/>
      <c r="D254" s="53"/>
      <c r="E254" s="28">
        <f t="shared" si="5"/>
        <v>747.4947896</v>
      </c>
      <c r="F254" s="52">
        <f t="shared" si="6"/>
        <v>9.621505851</v>
      </c>
      <c r="G254" s="28">
        <f t="shared" si="2"/>
        <v>747.4947896</v>
      </c>
      <c r="H254" s="28">
        <f t="shared" si="3"/>
        <v>9.621505851</v>
      </c>
    </row>
    <row r="255" ht="12.75" customHeight="1">
      <c r="A255" s="49">
        <f t="shared" si="4"/>
        <v>250</v>
      </c>
      <c r="B255" s="50" t="s">
        <v>291</v>
      </c>
      <c r="C255" s="29"/>
      <c r="D255" s="53"/>
      <c r="E255" s="28">
        <f t="shared" si="5"/>
        <v>734.1602542</v>
      </c>
      <c r="F255" s="52">
        <f t="shared" si="6"/>
        <v>9.44986812</v>
      </c>
      <c r="G255" s="28">
        <f t="shared" si="2"/>
        <v>734.1602542</v>
      </c>
      <c r="H255" s="28">
        <f t="shared" si="3"/>
        <v>9.44986812</v>
      </c>
    </row>
    <row r="256" ht="12.75" customHeight="1">
      <c r="A256" s="49">
        <f t="shared" si="4"/>
        <v>251</v>
      </c>
      <c r="B256" s="50" t="s">
        <v>292</v>
      </c>
      <c r="C256" s="29"/>
      <c r="D256" s="53"/>
      <c r="E256" s="28">
        <f t="shared" si="5"/>
        <v>721.0635932</v>
      </c>
      <c r="F256" s="52">
        <f t="shared" si="6"/>
        <v>9.281292228</v>
      </c>
      <c r="G256" s="28">
        <f t="shared" si="2"/>
        <v>721.0635932</v>
      </c>
      <c r="H256" s="28">
        <f t="shared" si="3"/>
        <v>9.281292228</v>
      </c>
    </row>
    <row r="257" ht="12.75" customHeight="1">
      <c r="A257" s="49">
        <f t="shared" si="4"/>
        <v>252</v>
      </c>
      <c r="B257" s="50" t="s">
        <v>293</v>
      </c>
      <c r="C257" s="29"/>
      <c r="D257" s="53"/>
      <c r="E257" s="28">
        <f t="shared" si="5"/>
        <v>708.2005631</v>
      </c>
      <c r="F257" s="52">
        <f t="shared" si="6"/>
        <v>9.115723556</v>
      </c>
      <c r="G257" s="28">
        <f t="shared" si="2"/>
        <v>708.2005631</v>
      </c>
      <c r="H257" s="28">
        <f t="shared" si="3"/>
        <v>9.115723556</v>
      </c>
    </row>
    <row r="258" ht="12.75" customHeight="1">
      <c r="A258" s="49">
        <f t="shared" si="4"/>
        <v>253</v>
      </c>
      <c r="B258" s="50" t="s">
        <v>294</v>
      </c>
      <c r="C258" s="29"/>
      <c r="D258" s="53"/>
      <c r="E258" s="28">
        <f t="shared" si="5"/>
        <v>695.5669962</v>
      </c>
      <c r="F258" s="52">
        <f t="shared" si="6"/>
        <v>8.953108459</v>
      </c>
      <c r="G258" s="28">
        <f t="shared" si="2"/>
        <v>695.5669962</v>
      </c>
      <c r="H258" s="28">
        <f t="shared" si="3"/>
        <v>8.953108459</v>
      </c>
    </row>
    <row r="259" ht="12.75" customHeight="1">
      <c r="A259" s="49">
        <f t="shared" si="4"/>
        <v>254</v>
      </c>
      <c r="B259" s="50" t="s">
        <v>295</v>
      </c>
      <c r="C259" s="29"/>
      <c r="D259" s="53"/>
      <c r="E259" s="28">
        <f t="shared" si="5"/>
        <v>683.158799</v>
      </c>
      <c r="F259" s="52">
        <f t="shared" si="6"/>
        <v>8.793394247</v>
      </c>
      <c r="G259" s="28">
        <f t="shared" si="2"/>
        <v>683.158799</v>
      </c>
      <c r="H259" s="28">
        <f t="shared" si="3"/>
        <v>8.793394247</v>
      </c>
    </row>
    <row r="260" ht="12.75" customHeight="1">
      <c r="A260" s="49">
        <f t="shared" si="4"/>
        <v>255</v>
      </c>
      <c r="B260" s="50" t="s">
        <v>296</v>
      </c>
      <c r="C260" s="29"/>
      <c r="D260" s="53"/>
      <c r="E260" s="28">
        <f t="shared" si="5"/>
        <v>670.9719513</v>
      </c>
      <c r="F260" s="52">
        <f t="shared" si="6"/>
        <v>8.636529171</v>
      </c>
      <c r="G260" s="28">
        <f t="shared" si="2"/>
        <v>670.9719513</v>
      </c>
      <c r="H260" s="28">
        <f t="shared" si="3"/>
        <v>8.636529171</v>
      </c>
    </row>
    <row r="261" ht="12.75" customHeight="1">
      <c r="A261" s="49">
        <f t="shared" si="4"/>
        <v>256</v>
      </c>
      <c r="B261" s="50" t="s">
        <v>297</v>
      </c>
      <c r="C261" s="29"/>
      <c r="D261" s="53"/>
      <c r="E261" s="28">
        <f t="shared" si="5"/>
        <v>659.0025044</v>
      </c>
      <c r="F261" s="52">
        <f t="shared" si="6"/>
        <v>8.482462407</v>
      </c>
      <c r="G261" s="28">
        <f t="shared" si="2"/>
        <v>659.0025044</v>
      </c>
      <c r="H261" s="28">
        <f t="shared" si="3"/>
        <v>8.482462407</v>
      </c>
    </row>
    <row r="262" ht="12.75" customHeight="1">
      <c r="A262" s="49">
        <f t="shared" si="4"/>
        <v>257</v>
      </c>
      <c r="B262" s="50" t="s">
        <v>298</v>
      </c>
      <c r="C262" s="29"/>
      <c r="D262" s="53"/>
      <c r="E262" s="28">
        <f t="shared" si="5"/>
        <v>647.24658</v>
      </c>
      <c r="F262" s="52">
        <f t="shared" si="6"/>
        <v>8.331144035</v>
      </c>
      <c r="G262" s="28">
        <f t="shared" si="2"/>
        <v>647.24658</v>
      </c>
      <c r="H262" s="28">
        <f t="shared" si="3"/>
        <v>8.331144035</v>
      </c>
    </row>
    <row r="263" ht="12.75" customHeight="1">
      <c r="A263" s="49">
        <f t="shared" si="4"/>
        <v>258</v>
      </c>
      <c r="B263" s="50" t="s">
        <v>299</v>
      </c>
      <c r="C263" s="29"/>
      <c r="D263" s="53"/>
      <c r="E263" s="28">
        <f t="shared" si="5"/>
        <v>635.7003692</v>
      </c>
      <c r="F263" s="52">
        <f t="shared" si="6"/>
        <v>8.182525026</v>
      </c>
      <c r="G263" s="28">
        <f t="shared" si="2"/>
        <v>635.7003692</v>
      </c>
      <c r="H263" s="28">
        <f t="shared" si="3"/>
        <v>8.182525026</v>
      </c>
    </row>
    <row r="264" ht="12.75" customHeight="1">
      <c r="A264" s="49">
        <f t="shared" si="4"/>
        <v>259</v>
      </c>
      <c r="B264" s="50" t="s">
        <v>300</v>
      </c>
      <c r="C264" s="29"/>
      <c r="D264" s="53"/>
      <c r="E264" s="28">
        <f t="shared" si="5"/>
        <v>624.3601309</v>
      </c>
      <c r="F264" s="52">
        <f t="shared" si="6"/>
        <v>8.036557227</v>
      </c>
      <c r="G264" s="28">
        <f t="shared" si="2"/>
        <v>624.3601309</v>
      </c>
      <c r="H264" s="28">
        <f t="shared" si="3"/>
        <v>8.036557227</v>
      </c>
    </row>
    <row r="265" ht="12.75" customHeight="1">
      <c r="A265" s="49">
        <f t="shared" si="4"/>
        <v>260</v>
      </c>
      <c r="B265" s="50" t="s">
        <v>301</v>
      </c>
      <c r="C265" s="29"/>
      <c r="D265" s="53"/>
      <c r="E265" s="28">
        <f t="shared" si="5"/>
        <v>613.2221908</v>
      </c>
      <c r="F265" s="52">
        <f t="shared" si="6"/>
        <v>7.893193342</v>
      </c>
      <c r="G265" s="28">
        <f t="shared" si="2"/>
        <v>613.2221908</v>
      </c>
      <c r="H265" s="28">
        <f t="shared" si="3"/>
        <v>7.893193342</v>
      </c>
    </row>
    <row r="266" ht="12.75" customHeight="1">
      <c r="A266" s="49">
        <f t="shared" si="4"/>
        <v>261</v>
      </c>
      <c r="B266" s="50" t="s">
        <v>302</v>
      </c>
      <c r="C266" s="29"/>
      <c r="D266" s="53"/>
      <c r="E266" s="28">
        <f t="shared" si="5"/>
        <v>602.2829399</v>
      </c>
      <c r="F266" s="52">
        <f t="shared" si="6"/>
        <v>7.752386922</v>
      </c>
      <c r="G266" s="28">
        <f t="shared" si="2"/>
        <v>602.2829399</v>
      </c>
      <c r="H266" s="28">
        <f t="shared" si="3"/>
        <v>7.752386922</v>
      </c>
    </row>
    <row r="267" ht="12.75" customHeight="1">
      <c r="A267" s="49">
        <f t="shared" si="4"/>
        <v>262</v>
      </c>
      <c r="B267" s="50" t="s">
        <v>303</v>
      </c>
      <c r="C267" s="29"/>
      <c r="D267" s="53"/>
      <c r="E267" s="28">
        <f t="shared" si="5"/>
        <v>591.5388341</v>
      </c>
      <c r="F267" s="52">
        <f t="shared" si="6"/>
        <v>7.614092342</v>
      </c>
      <c r="G267" s="28">
        <f t="shared" si="2"/>
        <v>591.5388341</v>
      </c>
      <c r="H267" s="28">
        <f t="shared" si="3"/>
        <v>7.614092342</v>
      </c>
    </row>
    <row r="268" ht="12.75" customHeight="1">
      <c r="A268" s="49">
        <f t="shared" si="4"/>
        <v>263</v>
      </c>
      <c r="B268" s="50" t="s">
        <v>304</v>
      </c>
      <c r="C268" s="29"/>
      <c r="D268" s="53"/>
      <c r="E268" s="28">
        <f t="shared" si="5"/>
        <v>580.9863919</v>
      </c>
      <c r="F268" s="52">
        <f t="shared" si="6"/>
        <v>7.478264795</v>
      </c>
      <c r="G268" s="28">
        <f t="shared" si="2"/>
        <v>580.9863919</v>
      </c>
      <c r="H268" s="28">
        <f t="shared" si="3"/>
        <v>7.478264795</v>
      </c>
    </row>
    <row r="269" ht="12.75" customHeight="1">
      <c r="A269" s="49">
        <f t="shared" si="4"/>
        <v>264</v>
      </c>
      <c r="B269" s="50" t="s">
        <v>305</v>
      </c>
      <c r="C269" s="29"/>
      <c r="D269" s="53"/>
      <c r="E269" s="28">
        <f t="shared" si="5"/>
        <v>570.6221945</v>
      </c>
      <c r="F269" s="52">
        <f t="shared" si="6"/>
        <v>7.344860272</v>
      </c>
      <c r="G269" s="28">
        <f t="shared" si="2"/>
        <v>570.6221945</v>
      </c>
      <c r="H269" s="28">
        <f t="shared" si="3"/>
        <v>7.344860272</v>
      </c>
    </row>
    <row r="270" ht="12.75" customHeight="1">
      <c r="A270" s="49">
        <f t="shared" si="4"/>
        <v>265</v>
      </c>
      <c r="B270" s="50" t="s">
        <v>306</v>
      </c>
      <c r="C270" s="29"/>
      <c r="D270" s="53"/>
      <c r="E270" s="28">
        <f t="shared" si="5"/>
        <v>560.4428836</v>
      </c>
      <c r="F270" s="52">
        <f t="shared" si="6"/>
        <v>7.213835547</v>
      </c>
      <c r="G270" s="28">
        <f t="shared" si="2"/>
        <v>560.4428836</v>
      </c>
      <c r="H270" s="28">
        <f t="shared" si="3"/>
        <v>7.213835547</v>
      </c>
    </row>
    <row r="271" ht="12.75" customHeight="1">
      <c r="A271" s="49">
        <f t="shared" si="4"/>
        <v>266</v>
      </c>
      <c r="B271" s="50" t="s">
        <v>307</v>
      </c>
      <c r="C271" s="29"/>
      <c r="D271" s="53"/>
      <c r="E271" s="28">
        <f t="shared" si="5"/>
        <v>550.4451612</v>
      </c>
      <c r="F271" s="52">
        <f t="shared" si="6"/>
        <v>7.085148168</v>
      </c>
      <c r="G271" s="28">
        <f t="shared" si="2"/>
        <v>550.4451612</v>
      </c>
      <c r="H271" s="28">
        <f t="shared" si="3"/>
        <v>7.085148168</v>
      </c>
    </row>
    <row r="272" ht="12.75" customHeight="1">
      <c r="A272" s="49">
        <f t="shared" si="4"/>
        <v>267</v>
      </c>
      <c r="B272" s="50" t="s">
        <v>308</v>
      </c>
      <c r="C272" s="29"/>
      <c r="D272" s="53"/>
      <c r="E272" s="28">
        <f t="shared" si="5"/>
        <v>540.6257877</v>
      </c>
      <c r="F272" s="52">
        <f t="shared" si="6"/>
        <v>6.958756439</v>
      </c>
      <c r="G272" s="28">
        <f t="shared" si="2"/>
        <v>540.6257877</v>
      </c>
      <c r="H272" s="28">
        <f t="shared" si="3"/>
        <v>6.958756439</v>
      </c>
    </row>
    <row r="273" ht="12.75" customHeight="1">
      <c r="A273" s="49">
        <f t="shared" si="4"/>
        <v>268</v>
      </c>
      <c r="B273" s="50" t="s">
        <v>309</v>
      </c>
      <c r="C273" s="29"/>
      <c r="D273" s="53"/>
      <c r="E273" s="28">
        <f t="shared" si="5"/>
        <v>530.9815818</v>
      </c>
      <c r="F273" s="52">
        <f t="shared" si="6"/>
        <v>6.834619408</v>
      </c>
      <c r="G273" s="28">
        <f t="shared" si="2"/>
        <v>530.9815818</v>
      </c>
      <c r="H273" s="28">
        <f t="shared" si="3"/>
        <v>6.834619408</v>
      </c>
    </row>
    <row r="274" ht="12.75" customHeight="1">
      <c r="A274" s="49">
        <f t="shared" si="4"/>
        <v>269</v>
      </c>
      <c r="B274" s="50" t="s">
        <v>310</v>
      </c>
      <c r="C274" s="29"/>
      <c r="D274" s="53"/>
      <c r="E274" s="28">
        <f t="shared" si="5"/>
        <v>521.5094186</v>
      </c>
      <c r="F274" s="52">
        <f t="shared" si="6"/>
        <v>6.712696854</v>
      </c>
      <c r="G274" s="28">
        <f t="shared" si="2"/>
        <v>521.5094186</v>
      </c>
      <c r="H274" s="28">
        <f t="shared" si="3"/>
        <v>6.712696854</v>
      </c>
    </row>
    <row r="275" ht="12.75" customHeight="1">
      <c r="A275" s="49">
        <f t="shared" si="4"/>
        <v>270</v>
      </c>
      <c r="B275" s="50" t="s">
        <v>311</v>
      </c>
      <c r="C275" s="29"/>
      <c r="D275" s="53"/>
      <c r="E275" s="28">
        <f t="shared" si="5"/>
        <v>512.2062289</v>
      </c>
      <c r="F275" s="52">
        <f t="shared" si="6"/>
        <v>6.592949272</v>
      </c>
      <c r="G275" s="28">
        <f t="shared" si="2"/>
        <v>512.2062289</v>
      </c>
      <c r="H275" s="28">
        <f t="shared" si="3"/>
        <v>6.592949272</v>
      </c>
    </row>
    <row r="276" ht="12.75" customHeight="1">
      <c r="A276" s="49">
        <f t="shared" si="4"/>
        <v>271</v>
      </c>
      <c r="B276" s="50" t="s">
        <v>312</v>
      </c>
      <c r="C276" s="29"/>
      <c r="D276" s="53"/>
      <c r="E276" s="28">
        <f t="shared" si="5"/>
        <v>503.0689986</v>
      </c>
      <c r="F276" s="52">
        <f t="shared" si="6"/>
        <v>6.475337863</v>
      </c>
      <c r="G276" s="28">
        <f t="shared" si="2"/>
        <v>503.0689986</v>
      </c>
      <c r="H276" s="28">
        <f t="shared" si="3"/>
        <v>6.475337863</v>
      </c>
    </row>
    <row r="277" ht="12.75" customHeight="1">
      <c r="A277" s="49">
        <f t="shared" si="4"/>
        <v>272</v>
      </c>
      <c r="B277" s="50" t="s">
        <v>313</v>
      </c>
      <c r="C277" s="29"/>
      <c r="D277" s="53"/>
      <c r="E277" s="28">
        <f t="shared" si="5"/>
        <v>494.094767</v>
      </c>
      <c r="F277" s="52">
        <f t="shared" si="6"/>
        <v>6.35982452</v>
      </c>
      <c r="G277" s="28">
        <f t="shared" si="2"/>
        <v>494.094767</v>
      </c>
      <c r="H277" s="28">
        <f t="shared" si="3"/>
        <v>6.35982452</v>
      </c>
    </row>
    <row r="278" ht="12.75" customHeight="1">
      <c r="A278" s="49">
        <f t="shared" si="4"/>
        <v>273</v>
      </c>
      <c r="B278" s="50" t="s">
        <v>314</v>
      </c>
      <c r="C278" s="29"/>
      <c r="D278" s="53"/>
      <c r="E278" s="28">
        <f t="shared" si="5"/>
        <v>485.2806264</v>
      </c>
      <c r="F278" s="52">
        <f t="shared" si="6"/>
        <v>6.246371816</v>
      </c>
      <c r="G278" s="28">
        <f t="shared" si="2"/>
        <v>485.2806264</v>
      </c>
      <c r="H278" s="28">
        <f t="shared" si="3"/>
        <v>6.246371816</v>
      </c>
    </row>
    <row r="279" ht="12.75" customHeight="1">
      <c r="A279" s="49">
        <f t="shared" si="4"/>
        <v>274</v>
      </c>
      <c r="B279" s="50" t="s">
        <v>315</v>
      </c>
      <c r="C279" s="29"/>
      <c r="D279" s="53"/>
      <c r="E279" s="28">
        <f t="shared" si="5"/>
        <v>476.623721</v>
      </c>
      <c r="F279" s="52">
        <f t="shared" si="6"/>
        <v>6.134942992</v>
      </c>
      <c r="G279" s="28">
        <f t="shared" si="2"/>
        <v>476.623721</v>
      </c>
      <c r="H279" s="28">
        <f t="shared" si="3"/>
        <v>6.134942992</v>
      </c>
    </row>
    <row r="280" ht="12.75" customHeight="1">
      <c r="A280" s="49">
        <f t="shared" si="4"/>
        <v>275</v>
      </c>
      <c r="B280" s="50" t="s">
        <v>316</v>
      </c>
      <c r="C280" s="29"/>
      <c r="D280" s="53"/>
      <c r="E280" s="28">
        <f t="shared" si="5"/>
        <v>468.1212459</v>
      </c>
      <c r="F280" s="52">
        <f t="shared" si="6"/>
        <v>6.025501942</v>
      </c>
      <c r="G280" s="28">
        <f t="shared" si="2"/>
        <v>468.1212459</v>
      </c>
      <c r="H280" s="28">
        <f t="shared" si="3"/>
        <v>6.025501942</v>
      </c>
    </row>
    <row r="281" ht="12.75" customHeight="1">
      <c r="A281" s="49">
        <f t="shared" si="4"/>
        <v>276</v>
      </c>
      <c r="B281" s="50" t="s">
        <v>317</v>
      </c>
      <c r="C281" s="29"/>
      <c r="D281" s="53"/>
      <c r="E281" s="28">
        <f t="shared" si="5"/>
        <v>459.7704461</v>
      </c>
      <c r="F281" s="52">
        <f t="shared" si="6"/>
        <v>5.918013208</v>
      </c>
      <c r="G281" s="28">
        <f t="shared" si="2"/>
        <v>459.7704461</v>
      </c>
      <c r="H281" s="28">
        <f t="shared" si="3"/>
        <v>5.918013208</v>
      </c>
    </row>
    <row r="282" ht="12.75" customHeight="1">
      <c r="A282" s="49">
        <f t="shared" si="4"/>
        <v>277</v>
      </c>
      <c r="B282" s="50" t="s">
        <v>318</v>
      </c>
      <c r="C282" s="29"/>
      <c r="D282" s="53"/>
      <c r="E282" s="28">
        <f t="shared" si="5"/>
        <v>451.568616</v>
      </c>
      <c r="F282" s="52">
        <f t="shared" si="6"/>
        <v>5.812441962</v>
      </c>
      <c r="G282" s="28">
        <f t="shared" si="2"/>
        <v>451.568616</v>
      </c>
      <c r="H282" s="28">
        <f t="shared" si="3"/>
        <v>5.812441962</v>
      </c>
    </row>
    <row r="283" ht="12.75" customHeight="1">
      <c r="A283" s="49">
        <f t="shared" si="4"/>
        <v>278</v>
      </c>
      <c r="B283" s="50" t="s">
        <v>319</v>
      </c>
      <c r="C283" s="29"/>
      <c r="D283" s="53"/>
      <c r="E283" s="28">
        <f t="shared" si="5"/>
        <v>443.5130981</v>
      </c>
      <c r="F283" s="52">
        <f t="shared" si="6"/>
        <v>5.708753998</v>
      </c>
      <c r="G283" s="28">
        <f t="shared" si="2"/>
        <v>443.5130981</v>
      </c>
      <c r="H283" s="28">
        <f t="shared" si="3"/>
        <v>5.708753998</v>
      </c>
    </row>
    <row r="284" ht="12.75" customHeight="1">
      <c r="A284" s="49">
        <f t="shared" si="4"/>
        <v>279</v>
      </c>
      <c r="B284" s="50" t="s">
        <v>320</v>
      </c>
      <c r="C284" s="29"/>
      <c r="D284" s="53"/>
      <c r="E284" s="28">
        <f t="shared" si="5"/>
        <v>435.6012823</v>
      </c>
      <c r="F284" s="52">
        <f t="shared" si="6"/>
        <v>5.60691572</v>
      </c>
      <c r="G284" s="28">
        <f t="shared" si="2"/>
        <v>435.6012823</v>
      </c>
      <c r="H284" s="28">
        <f t="shared" si="3"/>
        <v>5.60691572</v>
      </c>
    </row>
    <row r="285" ht="12.75" customHeight="1">
      <c r="A285" s="49">
        <f t="shared" si="4"/>
        <v>280</v>
      </c>
      <c r="B285" s="50" t="s">
        <v>321</v>
      </c>
      <c r="C285" s="29"/>
      <c r="D285" s="53"/>
      <c r="E285" s="28">
        <f t="shared" si="5"/>
        <v>427.8306051</v>
      </c>
      <c r="F285" s="52">
        <f t="shared" si="6"/>
        <v>5.506894132</v>
      </c>
      <c r="G285" s="28">
        <f t="shared" si="2"/>
        <v>427.8306051</v>
      </c>
      <c r="H285" s="28">
        <f t="shared" si="3"/>
        <v>5.506894132</v>
      </c>
    </row>
    <row r="286" ht="12.75" customHeight="1">
      <c r="A286" s="49">
        <f t="shared" si="4"/>
        <v>281</v>
      </c>
      <c r="B286" s="50" t="s">
        <v>322</v>
      </c>
      <c r="C286" s="29"/>
      <c r="D286" s="53"/>
      <c r="E286" s="28">
        <f t="shared" si="5"/>
        <v>420.1985488</v>
      </c>
      <c r="F286" s="52">
        <f t="shared" si="6"/>
        <v>5.408656826</v>
      </c>
      <c r="G286" s="28">
        <f t="shared" si="2"/>
        <v>420.1985488</v>
      </c>
      <c r="H286" s="28">
        <f t="shared" si="3"/>
        <v>5.408656826</v>
      </c>
    </row>
    <row r="287" ht="12.75" customHeight="1">
      <c r="A287" s="49">
        <f t="shared" si="4"/>
        <v>282</v>
      </c>
      <c r="B287" s="50" t="s">
        <v>323</v>
      </c>
      <c r="C287" s="29"/>
      <c r="D287" s="53"/>
      <c r="E287" s="28">
        <f t="shared" si="5"/>
        <v>412.7026405</v>
      </c>
      <c r="F287" s="52">
        <f t="shared" si="6"/>
        <v>5.312171972</v>
      </c>
      <c r="G287" s="28">
        <f t="shared" si="2"/>
        <v>412.7026405</v>
      </c>
      <c r="H287" s="28">
        <f t="shared" si="3"/>
        <v>5.312171972</v>
      </c>
    </row>
    <row r="288" ht="12.75" customHeight="1">
      <c r="A288" s="49">
        <f t="shared" si="4"/>
        <v>283</v>
      </c>
      <c r="B288" s="50" t="s">
        <v>324</v>
      </c>
      <c r="C288" s="29"/>
      <c r="D288" s="53"/>
      <c r="E288" s="28">
        <f t="shared" si="5"/>
        <v>405.3404514</v>
      </c>
      <c r="F288" s="52">
        <f t="shared" si="6"/>
        <v>5.217408308</v>
      </c>
      <c r="G288" s="28">
        <f t="shared" si="2"/>
        <v>405.3404514</v>
      </c>
      <c r="H288" s="28">
        <f t="shared" si="3"/>
        <v>5.217408308</v>
      </c>
    </row>
    <row r="289" ht="12.75" customHeight="1">
      <c r="A289" s="49">
        <f t="shared" si="4"/>
        <v>284</v>
      </c>
      <c r="B289" s="50" t="s">
        <v>325</v>
      </c>
      <c r="C289" s="29"/>
      <c r="D289" s="53"/>
      <c r="E289" s="28">
        <f t="shared" si="5"/>
        <v>398.1095962</v>
      </c>
      <c r="F289" s="52">
        <f t="shared" si="6"/>
        <v>5.12433513</v>
      </c>
      <c r="G289" s="28">
        <f t="shared" si="2"/>
        <v>398.1095962</v>
      </c>
      <c r="H289" s="28">
        <f t="shared" si="3"/>
        <v>5.12433513</v>
      </c>
    </row>
    <row r="290" ht="12.75" customHeight="1">
      <c r="A290" s="49">
        <f t="shared" si="4"/>
        <v>285</v>
      </c>
      <c r="B290" s="50" t="s">
        <v>326</v>
      </c>
      <c r="C290" s="29"/>
      <c r="D290" s="53"/>
      <c r="E290" s="28">
        <f t="shared" si="5"/>
        <v>391.007732</v>
      </c>
      <c r="F290" s="52">
        <f t="shared" si="6"/>
        <v>5.032922281</v>
      </c>
      <c r="G290" s="28">
        <f t="shared" si="2"/>
        <v>391.007732</v>
      </c>
      <c r="H290" s="28">
        <f t="shared" si="3"/>
        <v>5.032922281</v>
      </c>
    </row>
    <row r="291" ht="12.75" customHeight="1">
      <c r="A291" s="49">
        <f t="shared" si="4"/>
        <v>286</v>
      </c>
      <c r="B291" s="50" t="s">
        <v>327</v>
      </c>
      <c r="C291" s="29"/>
      <c r="D291" s="53"/>
      <c r="E291" s="28">
        <f t="shared" si="5"/>
        <v>384.0325577</v>
      </c>
      <c r="F291" s="52">
        <f t="shared" si="6"/>
        <v>4.943140143</v>
      </c>
      <c r="G291" s="28">
        <f t="shared" si="2"/>
        <v>384.0325577</v>
      </c>
      <c r="H291" s="28">
        <f t="shared" si="3"/>
        <v>4.943140143</v>
      </c>
    </row>
    <row r="292" ht="12.75" customHeight="1">
      <c r="A292" s="49">
        <f t="shared" si="4"/>
        <v>287</v>
      </c>
      <c r="B292" s="50" t="s">
        <v>328</v>
      </c>
      <c r="C292" s="29"/>
      <c r="D292" s="53"/>
      <c r="E292" s="28">
        <f t="shared" si="5"/>
        <v>377.1818134</v>
      </c>
      <c r="F292" s="52">
        <f t="shared" si="6"/>
        <v>4.854959626</v>
      </c>
      <c r="G292" s="28">
        <f t="shared" si="2"/>
        <v>377.1818134</v>
      </c>
      <c r="H292" s="28">
        <f t="shared" si="3"/>
        <v>4.854959626</v>
      </c>
    </row>
    <row r="293" ht="12.75" customHeight="1">
      <c r="A293" s="49">
        <f t="shared" si="4"/>
        <v>288</v>
      </c>
      <c r="B293" s="50" t="s">
        <v>329</v>
      </c>
      <c r="C293" s="29"/>
      <c r="D293" s="53"/>
      <c r="E293" s="28">
        <f t="shared" si="5"/>
        <v>370.4532792</v>
      </c>
      <c r="F293" s="52">
        <f t="shared" si="6"/>
        <v>4.768352159</v>
      </c>
      <c r="G293" s="28">
        <f t="shared" si="2"/>
        <v>370.4532792</v>
      </c>
      <c r="H293" s="28">
        <f t="shared" si="3"/>
        <v>4.768352159</v>
      </c>
    </row>
    <row r="294" ht="12.75" customHeight="1">
      <c r="A294" s="49">
        <f t="shared" si="4"/>
        <v>289</v>
      </c>
      <c r="B294" s="50" t="s">
        <v>330</v>
      </c>
      <c r="C294" s="29"/>
      <c r="D294" s="53"/>
      <c r="E294" s="28">
        <f t="shared" si="5"/>
        <v>363.8447751</v>
      </c>
      <c r="F294" s="52">
        <f t="shared" si="6"/>
        <v>4.683289679</v>
      </c>
      <c r="G294" s="28">
        <f t="shared" si="2"/>
        <v>363.8447751</v>
      </c>
      <c r="H294" s="28">
        <f t="shared" si="3"/>
        <v>4.683289679</v>
      </c>
    </row>
    <row r="295" ht="12.75" customHeight="1">
      <c r="A295" s="49">
        <f t="shared" si="4"/>
        <v>290</v>
      </c>
      <c r="B295" s="50" t="s">
        <v>331</v>
      </c>
      <c r="C295" s="29"/>
      <c r="D295" s="53"/>
      <c r="E295" s="28">
        <f t="shared" si="5"/>
        <v>357.35416</v>
      </c>
      <c r="F295" s="52">
        <f t="shared" si="6"/>
        <v>4.599744626</v>
      </c>
      <c r="G295" s="28">
        <f t="shared" si="2"/>
        <v>357.35416</v>
      </c>
      <c r="H295" s="28">
        <f t="shared" si="3"/>
        <v>4.599744626</v>
      </c>
    </row>
    <row r="296" ht="12.75" customHeight="1">
      <c r="A296" s="49">
        <f t="shared" si="4"/>
        <v>291</v>
      </c>
      <c r="B296" s="50" t="s">
        <v>332</v>
      </c>
      <c r="C296" s="29"/>
      <c r="D296" s="53"/>
      <c r="E296" s="28">
        <f t="shared" si="5"/>
        <v>350.9793307</v>
      </c>
      <c r="F296" s="52">
        <f t="shared" si="6"/>
        <v>4.51768993</v>
      </c>
      <c r="G296" s="28">
        <f t="shared" si="2"/>
        <v>350.9793307</v>
      </c>
      <c r="H296" s="28">
        <f t="shared" si="3"/>
        <v>4.51768993</v>
      </c>
    </row>
    <row r="297" ht="12.75" customHeight="1">
      <c r="A297" s="49">
        <f t="shared" si="4"/>
        <v>292</v>
      </c>
      <c r="B297" s="50" t="s">
        <v>333</v>
      </c>
      <c r="C297" s="29"/>
      <c r="D297" s="53"/>
      <c r="E297" s="28">
        <f t="shared" si="5"/>
        <v>344.7182218</v>
      </c>
      <c r="F297" s="52">
        <f t="shared" si="6"/>
        <v>4.437099006</v>
      </c>
      <c r="G297" s="28">
        <f t="shared" si="2"/>
        <v>344.7182218</v>
      </c>
      <c r="H297" s="28">
        <f t="shared" si="3"/>
        <v>4.437099006</v>
      </c>
    </row>
    <row r="298" ht="12.75" customHeight="1">
      <c r="A298" s="49">
        <f t="shared" si="4"/>
        <v>293</v>
      </c>
      <c r="B298" s="50" t="s">
        <v>334</v>
      </c>
      <c r="C298" s="29"/>
      <c r="D298" s="53"/>
      <c r="E298" s="28">
        <f t="shared" si="5"/>
        <v>338.5688046</v>
      </c>
      <c r="F298" s="52">
        <f t="shared" si="6"/>
        <v>4.35794574</v>
      </c>
      <c r="G298" s="28">
        <f t="shared" si="2"/>
        <v>338.5688046</v>
      </c>
      <c r="H298" s="28">
        <f t="shared" si="3"/>
        <v>4.35794574</v>
      </c>
    </row>
    <row r="299" ht="12.75" customHeight="1">
      <c r="A299" s="49">
        <f t="shared" si="4"/>
        <v>294</v>
      </c>
      <c r="B299" s="50" t="s">
        <v>335</v>
      </c>
      <c r="C299" s="29"/>
      <c r="D299" s="53"/>
      <c r="E299" s="28">
        <f t="shared" si="5"/>
        <v>332.5290866</v>
      </c>
      <c r="F299" s="52">
        <f t="shared" si="6"/>
        <v>4.280204487</v>
      </c>
      <c r="G299" s="28">
        <f t="shared" si="2"/>
        <v>332.5290866</v>
      </c>
      <c r="H299" s="28">
        <f t="shared" si="3"/>
        <v>4.280204487</v>
      </c>
    </row>
    <row r="300" ht="12.75" customHeight="1">
      <c r="A300" s="49">
        <f t="shared" si="4"/>
        <v>295</v>
      </c>
      <c r="B300" s="50" t="s">
        <v>336</v>
      </c>
      <c r="C300" s="29"/>
      <c r="D300" s="53"/>
      <c r="E300" s="28">
        <f t="shared" si="5"/>
        <v>326.597111</v>
      </c>
      <c r="F300" s="52">
        <f t="shared" si="6"/>
        <v>4.203850058</v>
      </c>
      <c r="G300" s="28">
        <f t="shared" si="2"/>
        <v>326.597111</v>
      </c>
      <c r="H300" s="28">
        <f t="shared" si="3"/>
        <v>4.203850058</v>
      </c>
    </row>
    <row r="301" ht="12.75" customHeight="1">
      <c r="A301" s="49">
        <f t="shared" si="4"/>
        <v>296</v>
      </c>
      <c r="B301" s="50" t="s">
        <v>337</v>
      </c>
      <c r="C301" s="29"/>
      <c r="D301" s="53"/>
      <c r="E301" s="28">
        <f t="shared" si="5"/>
        <v>320.7709557</v>
      </c>
      <c r="F301" s="52">
        <f t="shared" si="6"/>
        <v>4.128857713</v>
      </c>
      <c r="G301" s="28">
        <f t="shared" si="2"/>
        <v>320.7709557</v>
      </c>
      <c r="H301" s="28">
        <f t="shared" si="3"/>
        <v>4.128857713</v>
      </c>
    </row>
    <row r="302" ht="12.75" customHeight="1">
      <c r="A302" s="49">
        <f t="shared" si="4"/>
        <v>297</v>
      </c>
      <c r="B302" s="50" t="s">
        <v>338</v>
      </c>
      <c r="C302" s="29"/>
      <c r="D302" s="53"/>
      <c r="E302" s="28">
        <f t="shared" si="5"/>
        <v>315.048733</v>
      </c>
      <c r="F302" s="52">
        <f t="shared" si="6"/>
        <v>4.055203154</v>
      </c>
      <c r="G302" s="28">
        <f t="shared" si="2"/>
        <v>315.048733</v>
      </c>
      <c r="H302" s="28">
        <f t="shared" si="3"/>
        <v>4.055203154</v>
      </c>
    </row>
    <row r="303" ht="12.75" customHeight="1">
      <c r="A303" s="49">
        <f t="shared" si="4"/>
        <v>298</v>
      </c>
      <c r="B303" s="50" t="s">
        <v>339</v>
      </c>
      <c r="C303" s="29"/>
      <c r="D303" s="53"/>
      <c r="E303" s="28">
        <f t="shared" si="5"/>
        <v>309.4285888</v>
      </c>
      <c r="F303" s="52">
        <f t="shared" si="6"/>
        <v>3.982862516</v>
      </c>
      <c r="G303" s="28">
        <f t="shared" si="2"/>
        <v>309.4285888</v>
      </c>
      <c r="H303" s="28">
        <f t="shared" si="3"/>
        <v>3.982862516</v>
      </c>
    </row>
    <row r="304" ht="12.75" customHeight="1">
      <c r="A304" s="49">
        <f t="shared" si="4"/>
        <v>299</v>
      </c>
      <c r="B304" s="50" t="s">
        <v>340</v>
      </c>
      <c r="C304" s="29"/>
      <c r="D304" s="53"/>
      <c r="E304" s="28">
        <f t="shared" si="5"/>
        <v>303.9087023</v>
      </c>
      <c r="F304" s="52">
        <f t="shared" si="6"/>
        <v>3.91181236</v>
      </c>
      <c r="G304" s="28">
        <f t="shared" si="2"/>
        <v>303.9087023</v>
      </c>
      <c r="H304" s="28">
        <f t="shared" si="3"/>
        <v>3.91181236</v>
      </c>
    </row>
    <row r="305" ht="12.75" customHeight="1">
      <c r="A305" s="49">
        <f t="shared" si="4"/>
        <v>300</v>
      </c>
      <c r="B305" s="50" t="s">
        <v>341</v>
      </c>
      <c r="C305" s="29"/>
      <c r="D305" s="53"/>
      <c r="E305" s="28">
        <f t="shared" si="5"/>
        <v>298.4872848</v>
      </c>
      <c r="F305" s="52">
        <f t="shared" si="6"/>
        <v>3.842029666</v>
      </c>
      <c r="G305" s="28">
        <f t="shared" si="2"/>
        <v>298.4872848</v>
      </c>
      <c r="H305" s="28">
        <f t="shared" si="3"/>
        <v>3.842029666</v>
      </c>
    </row>
    <row r="306" ht="12.75" customHeight="1">
      <c r="A306" s="49">
        <f t="shared" si="4"/>
        <v>301</v>
      </c>
      <c r="B306" s="50" t="s">
        <v>342</v>
      </c>
      <c r="C306" s="29"/>
      <c r="D306" s="53"/>
      <c r="E306" s="28">
        <f t="shared" si="5"/>
        <v>293.1625797</v>
      </c>
      <c r="F306" s="52">
        <f t="shared" si="6"/>
        <v>3.773491823</v>
      </c>
      <c r="G306" s="28">
        <f t="shared" si="2"/>
        <v>293.1625797</v>
      </c>
      <c r="H306" s="28">
        <f t="shared" si="3"/>
        <v>3.773491823</v>
      </c>
    </row>
    <row r="307" ht="12.75" customHeight="1">
      <c r="A307" s="49">
        <f t="shared" si="4"/>
        <v>302</v>
      </c>
      <c r="B307" s="50" t="s">
        <v>343</v>
      </c>
      <c r="C307" s="29"/>
      <c r="D307" s="53"/>
      <c r="E307" s="28">
        <f t="shared" si="5"/>
        <v>287.932862</v>
      </c>
      <c r="F307" s="52">
        <f t="shared" si="6"/>
        <v>3.706176625</v>
      </c>
      <c r="G307" s="28">
        <f t="shared" si="2"/>
        <v>287.932862</v>
      </c>
      <c r="H307" s="28">
        <f t="shared" si="3"/>
        <v>3.706176625</v>
      </c>
    </row>
    <row r="308" ht="12.75" customHeight="1">
      <c r="A308" s="49">
        <f t="shared" si="4"/>
        <v>303</v>
      </c>
      <c r="B308" s="50" t="s">
        <v>344</v>
      </c>
      <c r="C308" s="29"/>
      <c r="D308" s="53"/>
      <c r="E308" s="28">
        <f t="shared" si="5"/>
        <v>282.796437</v>
      </c>
      <c r="F308" s="52">
        <f t="shared" si="6"/>
        <v>3.64006226</v>
      </c>
      <c r="G308" s="28">
        <f t="shared" si="2"/>
        <v>282.796437</v>
      </c>
      <c r="H308" s="28">
        <f t="shared" si="3"/>
        <v>3.64006226</v>
      </c>
    </row>
    <row r="309" ht="12.75" customHeight="1">
      <c r="A309" s="49">
        <f t="shared" si="4"/>
        <v>304</v>
      </c>
      <c r="B309" s="50" t="s">
        <v>345</v>
      </c>
      <c r="C309" s="29"/>
      <c r="D309" s="53"/>
      <c r="E309" s="28">
        <f t="shared" si="5"/>
        <v>277.7516405</v>
      </c>
      <c r="F309" s="52">
        <f t="shared" si="6"/>
        <v>3.575127307</v>
      </c>
      <c r="G309" s="28">
        <f t="shared" si="2"/>
        <v>277.7516405</v>
      </c>
      <c r="H309" s="28">
        <f t="shared" si="3"/>
        <v>3.575127307</v>
      </c>
    </row>
    <row r="310" ht="12.75" customHeight="1">
      <c r="A310" s="49">
        <f t="shared" si="4"/>
        <v>305</v>
      </c>
      <c r="B310" s="50" t="s">
        <v>346</v>
      </c>
      <c r="C310" s="29"/>
      <c r="D310" s="53"/>
      <c r="E310" s="28">
        <f t="shared" si="5"/>
        <v>272.7968379</v>
      </c>
      <c r="F310" s="52">
        <f t="shared" si="6"/>
        <v>3.511350727</v>
      </c>
      <c r="G310" s="28">
        <f t="shared" si="2"/>
        <v>272.7968379</v>
      </c>
      <c r="H310" s="28">
        <f t="shared" si="3"/>
        <v>3.511350727</v>
      </c>
    </row>
    <row r="311" ht="12.75" customHeight="1">
      <c r="A311" s="49">
        <f t="shared" si="4"/>
        <v>306</v>
      </c>
      <c r="B311" s="50" t="s">
        <v>347</v>
      </c>
      <c r="C311" s="29"/>
      <c r="D311" s="53"/>
      <c r="E311" s="28">
        <f t="shared" si="5"/>
        <v>267.930424</v>
      </c>
      <c r="F311" s="52">
        <f t="shared" si="6"/>
        <v>3.448711855</v>
      </c>
      <c r="G311" s="28">
        <f t="shared" si="2"/>
        <v>267.930424</v>
      </c>
      <c r="H311" s="28">
        <f t="shared" si="3"/>
        <v>3.448711855</v>
      </c>
    </row>
    <row r="312" ht="12.75" customHeight="1">
      <c r="A312" s="49">
        <f t="shared" si="4"/>
        <v>307</v>
      </c>
      <c r="B312" s="50" t="s">
        <v>348</v>
      </c>
      <c r="C312" s="29"/>
      <c r="D312" s="53"/>
      <c r="E312" s="28">
        <f t="shared" si="5"/>
        <v>263.1508218</v>
      </c>
      <c r="F312" s="52">
        <f t="shared" si="6"/>
        <v>3.387190395</v>
      </c>
      <c r="G312" s="28">
        <f t="shared" si="2"/>
        <v>263.1508218</v>
      </c>
      <c r="H312" s="28">
        <f t="shared" si="3"/>
        <v>3.387190395</v>
      </c>
    </row>
    <row r="313" ht="12.75" customHeight="1">
      <c r="A313" s="49">
        <f t="shared" si="4"/>
        <v>308</v>
      </c>
      <c r="B313" s="50" t="s">
        <v>349</v>
      </c>
      <c r="C313" s="29"/>
      <c r="D313" s="53"/>
      <c r="E313" s="28">
        <f t="shared" si="5"/>
        <v>258.4564828</v>
      </c>
      <c r="F313" s="52">
        <f t="shared" si="6"/>
        <v>3.326766416</v>
      </c>
      <c r="G313" s="28">
        <f t="shared" si="2"/>
        <v>258.4564828</v>
      </c>
      <c r="H313" s="28">
        <f t="shared" si="3"/>
        <v>3.326766416</v>
      </c>
    </row>
    <row r="314" ht="12.75" customHeight="1">
      <c r="A314" s="49">
        <f t="shared" si="4"/>
        <v>309</v>
      </c>
      <c r="B314" s="50" t="s">
        <v>350</v>
      </c>
      <c r="C314" s="29"/>
      <c r="D314" s="53"/>
      <c r="E314" s="28">
        <f t="shared" si="5"/>
        <v>253.845886</v>
      </c>
      <c r="F314" s="52">
        <f t="shared" si="6"/>
        <v>3.267420337</v>
      </c>
      <c r="G314" s="28">
        <f t="shared" si="2"/>
        <v>253.845886</v>
      </c>
      <c r="H314" s="28">
        <f t="shared" si="3"/>
        <v>3.267420337</v>
      </c>
    </row>
    <row r="315" ht="12.75" customHeight="1">
      <c r="A315" s="49">
        <f t="shared" si="4"/>
        <v>310</v>
      </c>
      <c r="B315" s="50" t="s">
        <v>351</v>
      </c>
      <c r="C315" s="29"/>
      <c r="D315" s="53"/>
      <c r="E315" s="28">
        <f t="shared" si="5"/>
        <v>249.3175374</v>
      </c>
      <c r="F315" s="52">
        <f t="shared" si="6"/>
        <v>3.209132931</v>
      </c>
      <c r="G315" s="28">
        <f t="shared" si="2"/>
        <v>249.3175374</v>
      </c>
      <c r="H315" s="28">
        <f t="shared" si="3"/>
        <v>3.209132931</v>
      </c>
    </row>
    <row r="316" ht="12.75" customHeight="1">
      <c r="A316" s="49">
        <f t="shared" si="4"/>
        <v>311</v>
      </c>
      <c r="B316" s="50" t="s">
        <v>352</v>
      </c>
      <c r="C316" s="29"/>
      <c r="D316" s="53"/>
      <c r="E316" s="28">
        <f t="shared" si="5"/>
        <v>244.86997</v>
      </c>
      <c r="F316" s="52">
        <f t="shared" si="6"/>
        <v>3.151885313</v>
      </c>
      <c r="G316" s="28">
        <f t="shared" si="2"/>
        <v>244.86997</v>
      </c>
      <c r="H316" s="28">
        <f t="shared" si="3"/>
        <v>3.151885313</v>
      </c>
    </row>
    <row r="317" ht="12.75" customHeight="1">
      <c r="A317" s="49">
        <f t="shared" si="4"/>
        <v>312</v>
      </c>
      <c r="B317" s="50" t="s">
        <v>353</v>
      </c>
      <c r="C317" s="29"/>
      <c r="D317" s="53"/>
      <c r="E317" s="28">
        <f t="shared" si="5"/>
        <v>240.5017425</v>
      </c>
      <c r="F317" s="52">
        <f t="shared" si="6"/>
        <v>3.095658933</v>
      </c>
      <c r="G317" s="28">
        <f t="shared" si="2"/>
        <v>240.5017425</v>
      </c>
      <c r="H317" s="28">
        <f t="shared" si="3"/>
        <v>3.095658933</v>
      </c>
    </row>
    <row r="318" ht="12.75" customHeight="1">
      <c r="A318" s="49">
        <f t="shared" si="4"/>
        <v>313</v>
      </c>
      <c r="B318" s="50" t="s">
        <v>354</v>
      </c>
      <c r="C318" s="29"/>
      <c r="D318" s="53"/>
      <c r="E318" s="28">
        <f t="shared" si="5"/>
        <v>236.2114397</v>
      </c>
      <c r="F318" s="52">
        <f t="shared" si="6"/>
        <v>3.040435573</v>
      </c>
      <c r="G318" s="28">
        <f t="shared" si="2"/>
        <v>236.2114397</v>
      </c>
      <c r="H318" s="28">
        <f t="shared" si="3"/>
        <v>3.040435573</v>
      </c>
    </row>
    <row r="319" ht="12.75" customHeight="1">
      <c r="A319" s="49">
        <f t="shared" si="4"/>
        <v>314</v>
      </c>
      <c r="B319" s="50" t="s">
        <v>355</v>
      </c>
      <c r="C319" s="29"/>
      <c r="D319" s="53"/>
      <c r="E319" s="28">
        <f t="shared" si="5"/>
        <v>231.9976715</v>
      </c>
      <c r="F319" s="52">
        <f t="shared" si="6"/>
        <v>2.986197341</v>
      </c>
      <c r="G319" s="28">
        <f t="shared" si="2"/>
        <v>231.9976715</v>
      </c>
      <c r="H319" s="28">
        <f t="shared" si="3"/>
        <v>2.986197341</v>
      </c>
    </row>
    <row r="320" ht="12.75" customHeight="1">
      <c r="A320" s="49">
        <f t="shared" si="4"/>
        <v>315</v>
      </c>
      <c r="B320" s="50" t="s">
        <v>356</v>
      </c>
      <c r="C320" s="29"/>
      <c r="D320" s="53"/>
      <c r="E320" s="28">
        <f t="shared" si="5"/>
        <v>227.8590725</v>
      </c>
      <c r="F320" s="52">
        <f t="shared" si="6"/>
        <v>2.932926664</v>
      </c>
      <c r="G320" s="28">
        <f t="shared" si="2"/>
        <v>227.8590725</v>
      </c>
      <c r="H320" s="28">
        <f t="shared" si="3"/>
        <v>2.932926664</v>
      </c>
    </row>
    <row r="321" ht="12.75" customHeight="1">
      <c r="A321" s="49">
        <f t="shared" si="4"/>
        <v>316</v>
      </c>
      <c r="B321" s="50" t="s">
        <v>357</v>
      </c>
      <c r="C321" s="29"/>
      <c r="D321" s="53"/>
      <c r="E321" s="28">
        <f t="shared" si="5"/>
        <v>223.7943019</v>
      </c>
      <c r="F321" s="52">
        <f t="shared" si="6"/>
        <v>2.88060628</v>
      </c>
      <c r="G321" s="28">
        <f t="shared" si="2"/>
        <v>223.7943019</v>
      </c>
      <c r="H321" s="28">
        <f t="shared" si="3"/>
        <v>2.88060628</v>
      </c>
    </row>
    <row r="322" ht="12.75" customHeight="1">
      <c r="A322" s="49">
        <f t="shared" si="4"/>
        <v>317</v>
      </c>
      <c r="B322" s="50" t="s">
        <v>358</v>
      </c>
      <c r="C322" s="29"/>
      <c r="D322" s="53"/>
      <c r="E322" s="28">
        <f t="shared" si="5"/>
        <v>219.8020426</v>
      </c>
      <c r="F322" s="52">
        <f t="shared" si="6"/>
        <v>2.829219238</v>
      </c>
      <c r="G322" s="28">
        <f t="shared" si="2"/>
        <v>219.8020426</v>
      </c>
      <c r="H322" s="28">
        <f t="shared" si="3"/>
        <v>2.829219238</v>
      </c>
    </row>
    <row r="323" ht="12.75" customHeight="1">
      <c r="A323" s="49">
        <f t="shared" si="4"/>
        <v>318</v>
      </c>
      <c r="B323" s="50" t="s">
        <v>359</v>
      </c>
      <c r="C323" s="29"/>
      <c r="D323" s="53"/>
      <c r="E323" s="28">
        <f t="shared" si="5"/>
        <v>215.881001</v>
      </c>
      <c r="F323" s="52">
        <f t="shared" si="6"/>
        <v>2.778748887</v>
      </c>
      <c r="G323" s="28">
        <f t="shared" si="2"/>
        <v>215.881001</v>
      </c>
      <c r="H323" s="28">
        <f t="shared" si="3"/>
        <v>2.778748887</v>
      </c>
    </row>
    <row r="324" ht="12.75" customHeight="1">
      <c r="A324" s="49">
        <f t="shared" si="4"/>
        <v>319</v>
      </c>
      <c r="B324" s="50" t="s">
        <v>360</v>
      </c>
      <c r="C324" s="29"/>
      <c r="D324" s="53"/>
      <c r="E324" s="28">
        <f t="shared" si="5"/>
        <v>212.0299069</v>
      </c>
      <c r="F324" s="52">
        <f t="shared" si="6"/>
        <v>2.729178876</v>
      </c>
      <c r="G324" s="28">
        <f t="shared" si="2"/>
        <v>212.0299069</v>
      </c>
      <c r="H324" s="28">
        <f t="shared" si="3"/>
        <v>2.729178876</v>
      </c>
    </row>
    <row r="325" ht="12.75" customHeight="1">
      <c r="A325" s="49">
        <f t="shared" si="4"/>
        <v>320</v>
      </c>
      <c r="B325" s="50" t="s">
        <v>361</v>
      </c>
      <c r="C325" s="29"/>
      <c r="D325" s="53"/>
      <c r="E325" s="28">
        <f t="shared" si="5"/>
        <v>208.2475122</v>
      </c>
      <c r="F325" s="52">
        <f t="shared" si="6"/>
        <v>2.680493142</v>
      </c>
      <c r="G325" s="28">
        <f t="shared" si="2"/>
        <v>208.2475122</v>
      </c>
      <c r="H325" s="28">
        <f t="shared" si="3"/>
        <v>2.680493142</v>
      </c>
    </row>
    <row r="326" ht="12.75" customHeight="1">
      <c r="A326" s="49">
        <f t="shared" si="4"/>
        <v>321</v>
      </c>
      <c r="B326" s="50" t="s">
        <v>362</v>
      </c>
      <c r="C326" s="29"/>
      <c r="D326" s="53"/>
      <c r="E326" s="28">
        <f t="shared" si="5"/>
        <v>204.5325916</v>
      </c>
      <c r="F326" s="52">
        <f t="shared" si="6"/>
        <v>2.632675912</v>
      </c>
      <c r="G326" s="28">
        <f t="shared" si="2"/>
        <v>204.5325916</v>
      </c>
      <c r="H326" s="28">
        <f t="shared" si="3"/>
        <v>2.632675912</v>
      </c>
    </row>
    <row r="327" ht="12.75" customHeight="1">
      <c r="A327" s="49">
        <f t="shared" si="4"/>
        <v>322</v>
      </c>
      <c r="B327" s="50" t="s">
        <v>363</v>
      </c>
      <c r="C327" s="29"/>
      <c r="D327" s="53"/>
      <c r="E327" s="28">
        <f t="shared" si="5"/>
        <v>200.8839413</v>
      </c>
      <c r="F327" s="52">
        <f t="shared" si="6"/>
        <v>2.585711691</v>
      </c>
      <c r="G327" s="28">
        <f t="shared" si="2"/>
        <v>200.8839413</v>
      </c>
      <c r="H327" s="28">
        <f t="shared" si="3"/>
        <v>2.585711691</v>
      </c>
    </row>
    <row r="328" ht="12.75" customHeight="1">
      <c r="A328" s="49">
        <f t="shared" si="4"/>
        <v>323</v>
      </c>
      <c r="B328" s="50" t="s">
        <v>364</v>
      </c>
      <c r="C328" s="29"/>
      <c r="D328" s="53"/>
      <c r="E328" s="28">
        <f t="shared" si="5"/>
        <v>197.3003792</v>
      </c>
      <c r="F328" s="52">
        <f t="shared" si="6"/>
        <v>2.539585264</v>
      </c>
      <c r="G328" s="28">
        <f t="shared" si="2"/>
        <v>197.3003792</v>
      </c>
      <c r="H328" s="28">
        <f t="shared" si="3"/>
        <v>2.539585264</v>
      </c>
    </row>
    <row r="329" ht="12.75" customHeight="1">
      <c r="A329" s="49">
        <f t="shared" si="4"/>
        <v>324</v>
      </c>
      <c r="B329" s="50" t="s">
        <v>365</v>
      </c>
      <c r="C329" s="29"/>
      <c r="D329" s="53"/>
      <c r="E329" s="28">
        <f t="shared" si="5"/>
        <v>193.7807441</v>
      </c>
      <c r="F329" s="52">
        <f t="shared" si="6"/>
        <v>2.494281685</v>
      </c>
      <c r="G329" s="28">
        <f t="shared" si="2"/>
        <v>193.7807441</v>
      </c>
      <c r="H329" s="28">
        <f t="shared" si="3"/>
        <v>2.494281685</v>
      </c>
    </row>
    <row r="330" ht="12.75" customHeight="1">
      <c r="A330" s="49">
        <f t="shared" si="4"/>
        <v>325</v>
      </c>
      <c r="B330" s="50" t="s">
        <v>366</v>
      </c>
      <c r="C330" s="29"/>
      <c r="D330" s="53"/>
      <c r="E330" s="28">
        <f t="shared" si="5"/>
        <v>190.3238957</v>
      </c>
      <c r="F330" s="52">
        <f t="shared" si="6"/>
        <v>2.449786274</v>
      </c>
      <c r="G330" s="28">
        <f t="shared" si="2"/>
        <v>190.3238957</v>
      </c>
      <c r="H330" s="28">
        <f t="shared" si="3"/>
        <v>2.449786274</v>
      </c>
    </row>
    <row r="331" ht="12.75" customHeight="1">
      <c r="A331" s="49">
        <f t="shared" si="4"/>
        <v>326</v>
      </c>
      <c r="B331" s="50" t="s">
        <v>367</v>
      </c>
      <c r="C331" s="29"/>
      <c r="D331" s="53"/>
      <c r="E331" s="28">
        <f t="shared" si="5"/>
        <v>186.9287138</v>
      </c>
      <c r="F331" s="52">
        <f t="shared" si="6"/>
        <v>2.406084616</v>
      </c>
      <c r="G331" s="28">
        <f t="shared" si="2"/>
        <v>186.9287138</v>
      </c>
      <c r="H331" s="28">
        <f t="shared" si="3"/>
        <v>2.406084616</v>
      </c>
    </row>
    <row r="332" ht="12.75" customHeight="1">
      <c r="A332" s="49">
        <f t="shared" si="4"/>
        <v>327</v>
      </c>
      <c r="B332" s="50" t="s">
        <v>368</v>
      </c>
      <c r="C332" s="29"/>
      <c r="D332" s="53"/>
      <c r="E332" s="28">
        <f t="shared" si="5"/>
        <v>183.5940986</v>
      </c>
      <c r="F332" s="52">
        <f t="shared" si="6"/>
        <v>2.363162551</v>
      </c>
      <c r="G332" s="28">
        <f t="shared" si="2"/>
        <v>183.5940986</v>
      </c>
      <c r="H332" s="28">
        <f t="shared" si="3"/>
        <v>2.363162551</v>
      </c>
    </row>
    <row r="333" ht="12.75" customHeight="1">
      <c r="A333" s="49">
        <f t="shared" si="4"/>
        <v>328</v>
      </c>
      <c r="B333" s="50" t="s">
        <v>369</v>
      </c>
      <c r="C333" s="29"/>
      <c r="D333" s="53"/>
      <c r="E333" s="28">
        <f t="shared" si="5"/>
        <v>180.3189694</v>
      </c>
      <c r="F333" s="52">
        <f t="shared" si="6"/>
        <v>2.32100617</v>
      </c>
      <c r="G333" s="28">
        <f t="shared" si="2"/>
        <v>180.3189694</v>
      </c>
      <c r="H333" s="28">
        <f t="shared" si="3"/>
        <v>2.32100617</v>
      </c>
    </row>
    <row r="334" ht="12.75" customHeight="1">
      <c r="A334" s="49">
        <f t="shared" si="4"/>
        <v>329</v>
      </c>
      <c r="B334" s="50" t="s">
        <v>370</v>
      </c>
      <c r="C334" s="29"/>
      <c r="D334" s="53"/>
      <c r="E334" s="28">
        <f t="shared" si="5"/>
        <v>177.1022651</v>
      </c>
      <c r="F334" s="52">
        <f t="shared" si="6"/>
        <v>2.279601816</v>
      </c>
      <c r="G334" s="28">
        <f t="shared" si="2"/>
        <v>177.1022651</v>
      </c>
      <c r="H334" s="28">
        <f t="shared" si="3"/>
        <v>2.279601816</v>
      </c>
    </row>
    <row r="335" ht="12.75" customHeight="1">
      <c r="A335" s="49">
        <f t="shared" si="4"/>
        <v>330</v>
      </c>
      <c r="B335" s="50" t="s">
        <v>371</v>
      </c>
      <c r="C335" s="29"/>
      <c r="D335" s="53"/>
      <c r="E335" s="28">
        <f t="shared" si="5"/>
        <v>173.9429435</v>
      </c>
      <c r="F335" s="52">
        <f t="shared" si="6"/>
        <v>2.238936073</v>
      </c>
      <c r="G335" s="28">
        <f t="shared" si="2"/>
        <v>173.9429435</v>
      </c>
      <c r="H335" s="28">
        <f t="shared" si="3"/>
        <v>2.238936073</v>
      </c>
    </row>
    <row r="336" ht="12.75" customHeight="1">
      <c r="A336" s="49">
        <f t="shared" si="4"/>
        <v>331</v>
      </c>
      <c r="B336" s="50" t="s">
        <v>372</v>
      </c>
      <c r="C336" s="29"/>
      <c r="D336" s="53"/>
      <c r="E336" s="28">
        <f t="shared" si="5"/>
        <v>170.839981</v>
      </c>
      <c r="F336" s="52">
        <f t="shared" si="6"/>
        <v>2.198995765</v>
      </c>
      <c r="G336" s="28">
        <f t="shared" si="2"/>
        <v>170.839981</v>
      </c>
      <c r="H336" s="28">
        <f t="shared" si="3"/>
        <v>2.198995765</v>
      </c>
    </row>
    <row r="337" ht="12.75" customHeight="1">
      <c r="A337" s="49">
        <f t="shared" si="4"/>
        <v>332</v>
      </c>
      <c r="B337" s="50" t="s">
        <v>373</v>
      </c>
      <c r="C337" s="29"/>
      <c r="D337" s="53"/>
      <c r="E337" s="28">
        <f t="shared" si="5"/>
        <v>167.7923721</v>
      </c>
      <c r="F337" s="52">
        <f t="shared" si="6"/>
        <v>2.159767951</v>
      </c>
      <c r="G337" s="28">
        <f t="shared" si="2"/>
        <v>167.7923721</v>
      </c>
      <c r="H337" s="28">
        <f t="shared" si="3"/>
        <v>2.159767951</v>
      </c>
    </row>
    <row r="338" ht="12.75" customHeight="1">
      <c r="A338" s="49">
        <f t="shared" si="4"/>
        <v>333</v>
      </c>
      <c r="B338" s="50" t="s">
        <v>374</v>
      </c>
      <c r="C338" s="29"/>
      <c r="D338" s="53"/>
      <c r="E338" s="28">
        <f t="shared" si="5"/>
        <v>164.7991294</v>
      </c>
      <c r="F338" s="52">
        <f t="shared" si="6"/>
        <v>2.12123992</v>
      </c>
      <c r="G338" s="28">
        <f t="shared" si="2"/>
        <v>164.7991294</v>
      </c>
      <c r="H338" s="28">
        <f t="shared" si="3"/>
        <v>2.12123992</v>
      </c>
    </row>
    <row r="339" ht="12.75" customHeight="1">
      <c r="A339" s="49">
        <f t="shared" si="4"/>
        <v>334</v>
      </c>
      <c r="B339" s="50" t="s">
        <v>375</v>
      </c>
      <c r="C339" s="29"/>
      <c r="D339" s="53"/>
      <c r="E339" s="28">
        <f t="shared" si="5"/>
        <v>161.8592831</v>
      </c>
      <c r="F339" s="52">
        <f t="shared" si="6"/>
        <v>2.08339919</v>
      </c>
      <c r="G339" s="28">
        <f t="shared" si="2"/>
        <v>161.8592831</v>
      </c>
      <c r="H339" s="28">
        <f t="shared" si="3"/>
        <v>2.08339919</v>
      </c>
    </row>
    <row r="340" ht="12.75" customHeight="1">
      <c r="A340" s="49">
        <f t="shared" si="4"/>
        <v>335</v>
      </c>
      <c r="B340" s="50" t="s">
        <v>376</v>
      </c>
      <c r="C340" s="29"/>
      <c r="D340" s="53"/>
      <c r="E340" s="28">
        <f t="shared" si="5"/>
        <v>158.9718806</v>
      </c>
      <c r="F340" s="52">
        <f t="shared" si="6"/>
        <v>2.046233499</v>
      </c>
      <c r="G340" s="28">
        <f t="shared" si="2"/>
        <v>158.9718806</v>
      </c>
      <c r="H340" s="28">
        <f t="shared" si="3"/>
        <v>2.046233499</v>
      </c>
    </row>
    <row r="341" ht="12.75" customHeight="1">
      <c r="A341" s="49">
        <f t="shared" si="4"/>
        <v>336</v>
      </c>
      <c r="B341" s="50" t="s">
        <v>377</v>
      </c>
      <c r="C341" s="29"/>
      <c r="D341" s="53"/>
      <c r="E341" s="28">
        <f t="shared" si="5"/>
        <v>156.1359863</v>
      </c>
      <c r="F341" s="52">
        <f t="shared" si="6"/>
        <v>2.009730806</v>
      </c>
      <c r="G341" s="28">
        <f t="shared" si="2"/>
        <v>156.1359863</v>
      </c>
      <c r="H341" s="28">
        <f t="shared" si="3"/>
        <v>2.009730806</v>
      </c>
    </row>
    <row r="342" ht="12.75" customHeight="1">
      <c r="A342" s="49">
        <f t="shared" si="4"/>
        <v>337</v>
      </c>
      <c r="B342" s="50" t="s">
        <v>378</v>
      </c>
      <c r="C342" s="29"/>
      <c r="D342" s="53"/>
      <c r="E342" s="28">
        <f t="shared" si="5"/>
        <v>153.3506815</v>
      </c>
      <c r="F342" s="52">
        <f t="shared" si="6"/>
        <v>1.973879283</v>
      </c>
      <c r="G342" s="28">
        <f t="shared" si="2"/>
        <v>153.3506815</v>
      </c>
      <c r="H342" s="28">
        <f t="shared" si="3"/>
        <v>1.973879283</v>
      </c>
    </row>
    <row r="343" ht="12.75" customHeight="1">
      <c r="A343" s="49">
        <f t="shared" si="4"/>
        <v>338</v>
      </c>
      <c r="B343" s="50" t="s">
        <v>379</v>
      </c>
      <c r="C343" s="29"/>
      <c r="D343" s="53"/>
      <c r="E343" s="28">
        <f t="shared" si="5"/>
        <v>150.6150637</v>
      </c>
      <c r="F343" s="52">
        <f t="shared" si="6"/>
        <v>1.938667315</v>
      </c>
      <c r="G343" s="28">
        <f t="shared" si="2"/>
        <v>150.6150637</v>
      </c>
      <c r="H343" s="28">
        <f t="shared" si="3"/>
        <v>1.938667315</v>
      </c>
    </row>
    <row r="344" ht="12.75" customHeight="1">
      <c r="A344" s="49">
        <f t="shared" si="4"/>
        <v>339</v>
      </c>
      <c r="B344" s="50" t="s">
        <v>380</v>
      </c>
      <c r="C344" s="29"/>
      <c r="D344" s="53"/>
      <c r="E344" s="28">
        <f t="shared" si="5"/>
        <v>147.9282464</v>
      </c>
      <c r="F344" s="52">
        <f t="shared" si="6"/>
        <v>1.904083491</v>
      </c>
      <c r="G344" s="28">
        <f t="shared" si="2"/>
        <v>147.9282464</v>
      </c>
      <c r="H344" s="28">
        <f t="shared" si="3"/>
        <v>1.904083491</v>
      </c>
    </row>
    <row r="345" ht="12.75" customHeight="1">
      <c r="A345" s="49">
        <f t="shared" si="4"/>
        <v>340</v>
      </c>
      <c r="B345" s="50" t="s">
        <v>381</v>
      </c>
      <c r="C345" s="29"/>
      <c r="D345" s="53"/>
      <c r="E345" s="28">
        <f t="shared" si="5"/>
        <v>145.2893592</v>
      </c>
      <c r="F345" s="52">
        <f t="shared" si="6"/>
        <v>1.870116607</v>
      </c>
      <c r="G345" s="28">
        <f t="shared" si="2"/>
        <v>145.2893592</v>
      </c>
      <c r="H345" s="28">
        <f t="shared" si="3"/>
        <v>1.870116607</v>
      </c>
    </row>
    <row r="346" ht="12.75" customHeight="1">
      <c r="A346" s="49">
        <f t="shared" si="4"/>
        <v>341</v>
      </c>
      <c r="B346" s="50" t="s">
        <v>382</v>
      </c>
      <c r="C346" s="29"/>
      <c r="D346" s="53"/>
      <c r="E346" s="28">
        <f t="shared" si="5"/>
        <v>142.6975471</v>
      </c>
      <c r="F346" s="52">
        <f t="shared" si="6"/>
        <v>1.836755658</v>
      </c>
      <c r="G346" s="28">
        <f t="shared" si="2"/>
        <v>142.6975471</v>
      </c>
      <c r="H346" s="28">
        <f t="shared" si="3"/>
        <v>1.836755658</v>
      </c>
    </row>
    <row r="347" ht="12.75" customHeight="1">
      <c r="A347" s="49">
        <f t="shared" si="4"/>
        <v>342</v>
      </c>
      <c r="B347" s="50" t="s">
        <v>383</v>
      </c>
      <c r="C347" s="29"/>
      <c r="D347" s="53"/>
      <c r="E347" s="28">
        <f t="shared" si="5"/>
        <v>140.1519701</v>
      </c>
      <c r="F347" s="52">
        <f t="shared" si="6"/>
        <v>1.803989833</v>
      </c>
      <c r="G347" s="28">
        <f t="shared" si="2"/>
        <v>140.1519701</v>
      </c>
      <c r="H347" s="28">
        <f t="shared" si="3"/>
        <v>1.803989833</v>
      </c>
    </row>
    <row r="348" ht="12.75" customHeight="1">
      <c r="A348" s="49">
        <f t="shared" si="4"/>
        <v>343</v>
      </c>
      <c r="B348" s="50" t="s">
        <v>384</v>
      </c>
      <c r="C348" s="29"/>
      <c r="D348" s="53"/>
      <c r="E348" s="28">
        <f t="shared" si="5"/>
        <v>137.6518037</v>
      </c>
      <c r="F348" s="52">
        <f t="shared" si="6"/>
        <v>1.771808517</v>
      </c>
      <c r="G348" s="28">
        <f t="shared" si="2"/>
        <v>137.6518037</v>
      </c>
      <c r="H348" s="28">
        <f t="shared" si="3"/>
        <v>1.771808517</v>
      </c>
    </row>
    <row r="349" ht="12.75" customHeight="1">
      <c r="A349" s="49">
        <f t="shared" si="4"/>
        <v>344</v>
      </c>
      <c r="B349" s="50" t="s">
        <v>385</v>
      </c>
      <c r="C349" s="29"/>
      <c r="D349" s="53"/>
      <c r="E349" s="28">
        <f t="shared" si="5"/>
        <v>135.1962376</v>
      </c>
      <c r="F349" s="52">
        <f t="shared" si="6"/>
        <v>1.740201282</v>
      </c>
      <c r="G349" s="28">
        <f t="shared" si="2"/>
        <v>135.1962376</v>
      </c>
      <c r="H349" s="28">
        <f t="shared" si="3"/>
        <v>1.740201282</v>
      </c>
    </row>
    <row r="350" ht="12.75" customHeight="1">
      <c r="A350" s="49">
        <f t="shared" si="4"/>
        <v>345</v>
      </c>
      <c r="B350" s="50" t="s">
        <v>386</v>
      </c>
      <c r="C350" s="29"/>
      <c r="D350" s="53"/>
      <c r="E350" s="28">
        <f t="shared" si="5"/>
        <v>132.7844763</v>
      </c>
      <c r="F350" s="52">
        <f t="shared" si="6"/>
        <v>1.709157888</v>
      </c>
      <c r="G350" s="28">
        <f t="shared" si="2"/>
        <v>132.7844763</v>
      </c>
      <c r="H350" s="28">
        <f t="shared" si="3"/>
        <v>1.709157888</v>
      </c>
    </row>
    <row r="351" ht="12.75" customHeight="1">
      <c r="A351" s="49">
        <f t="shared" si="4"/>
        <v>346</v>
      </c>
      <c r="B351" s="50" t="s">
        <v>387</v>
      </c>
      <c r="C351" s="29"/>
      <c r="D351" s="53"/>
      <c r="E351" s="28">
        <f t="shared" si="5"/>
        <v>130.4157383</v>
      </c>
      <c r="F351" s="52">
        <f t="shared" si="6"/>
        <v>1.678668275</v>
      </c>
      <c r="G351" s="28">
        <f t="shared" si="2"/>
        <v>130.4157383</v>
      </c>
      <c r="H351" s="28">
        <f t="shared" si="3"/>
        <v>1.678668275</v>
      </c>
    </row>
    <row r="352" ht="12.75" customHeight="1">
      <c r="A352" s="49">
        <f t="shared" si="4"/>
        <v>347</v>
      </c>
      <c r="B352" s="50" t="s">
        <v>388</v>
      </c>
      <c r="C352" s="29"/>
      <c r="D352" s="53"/>
      <c r="E352" s="28">
        <f t="shared" si="5"/>
        <v>128.0892562</v>
      </c>
      <c r="F352" s="52">
        <f t="shared" si="6"/>
        <v>1.648722566</v>
      </c>
      <c r="G352" s="28">
        <f t="shared" si="2"/>
        <v>128.0892562</v>
      </c>
      <c r="H352" s="28">
        <f t="shared" si="3"/>
        <v>1.648722566</v>
      </c>
    </row>
    <row r="353" ht="12.75" customHeight="1">
      <c r="A353" s="49">
        <f t="shared" si="4"/>
        <v>348</v>
      </c>
      <c r="B353" s="50" t="s">
        <v>389</v>
      </c>
      <c r="C353" s="29"/>
      <c r="D353" s="53"/>
      <c r="E353" s="28">
        <f t="shared" si="5"/>
        <v>125.8042761</v>
      </c>
      <c r="F353" s="52">
        <f t="shared" si="6"/>
        <v>1.619311058</v>
      </c>
      <c r="G353" s="28">
        <f t="shared" si="2"/>
        <v>125.8042761</v>
      </c>
      <c r="H353" s="28">
        <f t="shared" si="3"/>
        <v>1.619311058</v>
      </c>
    </row>
    <row r="354" ht="12.75" customHeight="1">
      <c r="A354" s="49">
        <f t="shared" si="4"/>
        <v>349</v>
      </c>
      <c r="B354" s="50" t="s">
        <v>390</v>
      </c>
      <c r="C354" s="29"/>
      <c r="D354" s="53"/>
      <c r="E354" s="28">
        <f t="shared" si="5"/>
        <v>123.5600577</v>
      </c>
      <c r="F354" s="52">
        <f t="shared" si="6"/>
        <v>1.59042422</v>
      </c>
      <c r="G354" s="28">
        <f t="shared" si="2"/>
        <v>123.5600577</v>
      </c>
      <c r="H354" s="28">
        <f t="shared" si="3"/>
        <v>1.59042422</v>
      </c>
    </row>
    <row r="355" ht="12.75" customHeight="1">
      <c r="A355" s="49">
        <f t="shared" si="4"/>
        <v>350</v>
      </c>
      <c r="B355" s="50" t="s">
        <v>391</v>
      </c>
      <c r="C355" s="29"/>
      <c r="D355" s="53"/>
      <c r="E355" s="28">
        <f t="shared" si="5"/>
        <v>121.3558738</v>
      </c>
      <c r="F355" s="52">
        <f t="shared" si="6"/>
        <v>1.562052694</v>
      </c>
      <c r="G355" s="28">
        <f t="shared" si="2"/>
        <v>121.3558738</v>
      </c>
      <c r="H355" s="28">
        <f t="shared" si="3"/>
        <v>1.562052694</v>
      </c>
    </row>
    <row r="356" ht="12.75" customHeight="1">
      <c r="A356" s="49">
        <f t="shared" si="4"/>
        <v>351</v>
      </c>
      <c r="B356" s="50" t="s">
        <v>392</v>
      </c>
      <c r="C356" s="29"/>
      <c r="D356" s="53"/>
      <c r="E356" s="28">
        <f t="shared" si="5"/>
        <v>119.1910103</v>
      </c>
      <c r="F356" s="52">
        <f t="shared" si="6"/>
        <v>1.534187287</v>
      </c>
      <c r="G356" s="28">
        <f t="shared" si="2"/>
        <v>119.1910103</v>
      </c>
      <c r="H356" s="28">
        <f t="shared" si="3"/>
        <v>1.534187287</v>
      </c>
    </row>
    <row r="357" ht="12.75" customHeight="1">
      <c r="A357" s="49">
        <f t="shared" si="4"/>
        <v>352</v>
      </c>
      <c r="B357" s="50" t="s">
        <v>393</v>
      </c>
      <c r="C357" s="29"/>
      <c r="D357" s="53"/>
      <c r="E357" s="28">
        <f t="shared" si="5"/>
        <v>117.0647657</v>
      </c>
      <c r="F357" s="52">
        <f t="shared" si="6"/>
        <v>1.506818969</v>
      </c>
      <c r="G357" s="28">
        <f t="shared" si="2"/>
        <v>117.0647657</v>
      </c>
      <c r="H357" s="28">
        <f t="shared" si="3"/>
        <v>1.506818969</v>
      </c>
    </row>
    <row r="358" ht="12.75" customHeight="1">
      <c r="A358" s="49">
        <f t="shared" si="4"/>
        <v>353</v>
      </c>
      <c r="B358" s="50" t="s">
        <v>394</v>
      </c>
      <c r="C358" s="29"/>
      <c r="D358" s="53"/>
      <c r="E358" s="28">
        <f t="shared" si="5"/>
        <v>114.9764512</v>
      </c>
      <c r="F358" s="52">
        <f t="shared" si="6"/>
        <v>1.479938874</v>
      </c>
      <c r="G358" s="28">
        <f t="shared" si="2"/>
        <v>114.9764512</v>
      </c>
      <c r="H358" s="28">
        <f t="shared" si="3"/>
        <v>1.479938874</v>
      </c>
    </row>
    <row r="359" ht="12.75" customHeight="1">
      <c r="A359" s="49">
        <f t="shared" si="4"/>
        <v>354</v>
      </c>
      <c r="B359" s="50" t="s">
        <v>395</v>
      </c>
      <c r="C359" s="29"/>
      <c r="D359" s="53"/>
      <c r="E359" s="28">
        <f t="shared" si="5"/>
        <v>112.92539</v>
      </c>
      <c r="F359" s="52">
        <f t="shared" si="6"/>
        <v>1.453538293</v>
      </c>
      <c r="G359" s="28">
        <f t="shared" si="2"/>
        <v>112.92539</v>
      </c>
      <c r="H359" s="28">
        <f t="shared" si="3"/>
        <v>1.453538293</v>
      </c>
    </row>
    <row r="360" ht="12.75" customHeight="1">
      <c r="A360" s="49">
        <f t="shared" si="4"/>
        <v>355</v>
      </c>
      <c r="B360" s="50" t="s">
        <v>396</v>
      </c>
      <c r="C360" s="29"/>
      <c r="D360" s="53"/>
      <c r="E360" s="28">
        <f t="shared" si="5"/>
        <v>110.9109176</v>
      </c>
      <c r="F360" s="52">
        <f t="shared" si="6"/>
        <v>1.42760867</v>
      </c>
      <c r="G360" s="28">
        <f t="shared" si="2"/>
        <v>110.9109176</v>
      </c>
      <c r="H360" s="28">
        <f t="shared" si="3"/>
        <v>1.42760867</v>
      </c>
    </row>
    <row r="361" ht="12.75" customHeight="1">
      <c r="A361" s="49">
        <f t="shared" si="4"/>
        <v>356</v>
      </c>
      <c r="B361" s="50" t="s">
        <v>397</v>
      </c>
      <c r="C361" s="29"/>
      <c r="D361" s="53"/>
      <c r="E361" s="28">
        <f t="shared" si="5"/>
        <v>108.9323813</v>
      </c>
      <c r="F361" s="52">
        <f t="shared" si="6"/>
        <v>1.402141605</v>
      </c>
      <c r="G361" s="28">
        <f t="shared" si="2"/>
        <v>108.9323813</v>
      </c>
      <c r="H361" s="28">
        <f t="shared" si="3"/>
        <v>1.402141605</v>
      </c>
    </row>
    <row r="362" ht="12.75" customHeight="1">
      <c r="A362" s="49">
        <f t="shared" si="4"/>
        <v>357</v>
      </c>
      <c r="B362" s="50" t="s">
        <v>398</v>
      </c>
      <c r="C362" s="29"/>
      <c r="D362" s="53"/>
      <c r="E362" s="28">
        <f t="shared" si="5"/>
        <v>106.9891401</v>
      </c>
      <c r="F362" s="52">
        <f t="shared" si="6"/>
        <v>1.377128847</v>
      </c>
      <c r="G362" s="28">
        <f t="shared" si="2"/>
        <v>106.9891401</v>
      </c>
      <c r="H362" s="28">
        <f t="shared" si="3"/>
        <v>1.377128847</v>
      </c>
    </row>
    <row r="363" ht="12.75" customHeight="1">
      <c r="A363" s="49">
        <f t="shared" si="4"/>
        <v>358</v>
      </c>
      <c r="B363" s="50" t="s">
        <v>399</v>
      </c>
      <c r="C363" s="29"/>
      <c r="D363" s="53"/>
      <c r="E363" s="28">
        <f t="shared" si="5"/>
        <v>105.0805643</v>
      </c>
      <c r="F363" s="52">
        <f t="shared" si="6"/>
        <v>1.35256229</v>
      </c>
      <c r="G363" s="28">
        <f t="shared" si="2"/>
        <v>105.0805643</v>
      </c>
      <c r="H363" s="28">
        <f t="shared" si="3"/>
        <v>1.35256229</v>
      </c>
    </row>
    <row r="364" ht="12.75" customHeight="1">
      <c r="A364" s="49">
        <f t="shared" si="4"/>
        <v>359</v>
      </c>
      <c r="B364" s="50" t="s">
        <v>400</v>
      </c>
      <c r="C364" s="29"/>
      <c r="D364" s="53"/>
      <c r="E364" s="28">
        <f t="shared" si="5"/>
        <v>103.2060355</v>
      </c>
      <c r="F364" s="52">
        <f t="shared" si="6"/>
        <v>1.328433975</v>
      </c>
      <c r="G364" s="28">
        <f t="shared" si="2"/>
        <v>103.2060355</v>
      </c>
      <c r="H364" s="28">
        <f t="shared" si="3"/>
        <v>1.328433975</v>
      </c>
    </row>
    <row r="365" ht="12.75" customHeight="1">
      <c r="A365" s="49">
        <f t="shared" si="4"/>
        <v>360</v>
      </c>
      <c r="B365" s="50" t="s">
        <v>401</v>
      </c>
      <c r="C365" s="29"/>
      <c r="D365" s="53"/>
      <c r="E365" s="28">
        <f t="shared" si="5"/>
        <v>101.3649464</v>
      </c>
      <c r="F365" s="52">
        <f t="shared" si="6"/>
        <v>1.304736084</v>
      </c>
      <c r="G365" s="28">
        <f t="shared" si="2"/>
        <v>101.3649464</v>
      </c>
      <c r="H365" s="28">
        <f t="shared" si="3"/>
        <v>1.304736084</v>
      </c>
    </row>
    <row r="366" ht="12.75" customHeight="1">
      <c r="A366" s="49">
        <f t="shared" si="4"/>
        <v>361</v>
      </c>
      <c r="B366" s="50" t="s">
        <v>402</v>
      </c>
      <c r="C366" s="29"/>
      <c r="D366" s="53"/>
      <c r="E366" s="28">
        <f t="shared" si="5"/>
        <v>99.55670037</v>
      </c>
      <c r="F366" s="52">
        <f t="shared" si="6"/>
        <v>1.281460939</v>
      </c>
      <c r="G366" s="28">
        <f t="shared" si="2"/>
        <v>99.55670037</v>
      </c>
      <c r="H366" s="28">
        <f t="shared" si="3"/>
        <v>1.281460939</v>
      </c>
    </row>
    <row r="367" ht="12.75" customHeight="1">
      <c r="A367" s="49">
        <f t="shared" si="4"/>
        <v>362</v>
      </c>
      <c r="B367" s="50" t="s">
        <v>403</v>
      </c>
      <c r="C367" s="29"/>
      <c r="D367" s="53"/>
      <c r="E367" s="28">
        <f t="shared" si="5"/>
        <v>97.78071161</v>
      </c>
      <c r="F367" s="52">
        <f t="shared" si="6"/>
        <v>1.258600999</v>
      </c>
      <c r="G367" s="28">
        <f t="shared" si="2"/>
        <v>97.78071161</v>
      </c>
      <c r="H367" s="28">
        <f t="shared" si="3"/>
        <v>1.258600999</v>
      </c>
    </row>
    <row r="368" ht="12.75" customHeight="1">
      <c r="A368" s="49">
        <f t="shared" si="4"/>
        <v>363</v>
      </c>
      <c r="B368" s="50" t="s">
        <v>404</v>
      </c>
      <c r="C368" s="29"/>
      <c r="D368" s="53"/>
      <c r="E368" s="28">
        <f t="shared" si="5"/>
        <v>96.03640466</v>
      </c>
      <c r="F368" s="52">
        <f t="shared" si="6"/>
        <v>1.236148856</v>
      </c>
      <c r="G368" s="28">
        <f t="shared" si="2"/>
        <v>96.03640466</v>
      </c>
      <c r="H368" s="28">
        <f t="shared" si="3"/>
        <v>1.236148856</v>
      </c>
    </row>
    <row r="369" ht="12.75" customHeight="1">
      <c r="A369" s="49">
        <f t="shared" si="4"/>
        <v>364</v>
      </c>
      <c r="B369" s="50" t="s">
        <v>405</v>
      </c>
      <c r="C369" s="29"/>
      <c r="D369" s="53"/>
      <c r="E369" s="28">
        <f t="shared" si="5"/>
        <v>94.32321434</v>
      </c>
      <c r="F369" s="52">
        <f t="shared" si="6"/>
        <v>1.214097237</v>
      </c>
      <c r="G369" s="28">
        <f t="shared" si="2"/>
        <v>94.32321434</v>
      </c>
      <c r="H369" s="28">
        <f t="shared" si="3"/>
        <v>1.214097237</v>
      </c>
    </row>
    <row r="370" ht="12.75" customHeight="1">
      <c r="A370" s="49">
        <f t="shared" si="4"/>
        <v>365</v>
      </c>
      <c r="B370" s="50" t="s">
        <v>406</v>
      </c>
      <c r="C370" s="29"/>
      <c r="D370" s="53"/>
      <c r="E370" s="28">
        <f t="shared" si="5"/>
        <v>92.64058558</v>
      </c>
      <c r="F370" s="52">
        <f t="shared" si="6"/>
        <v>1.192438996</v>
      </c>
      <c r="G370" s="28">
        <f t="shared" si="2"/>
        <v>92.64058558</v>
      </c>
      <c r="H370" s="28">
        <f t="shared" si="3"/>
        <v>1.192438996</v>
      </c>
    </row>
    <row r="371" ht="12.75" customHeight="1">
      <c r="A371" s="49">
        <f t="shared" si="4"/>
        <v>366</v>
      </c>
      <c r="B371" s="50" t="s">
        <v>407</v>
      </c>
      <c r="C371" s="29"/>
      <c r="D371" s="53"/>
      <c r="E371" s="28">
        <f t="shared" si="5"/>
        <v>90.98797317</v>
      </c>
      <c r="F371" s="52">
        <f t="shared" si="6"/>
        <v>1.171167115</v>
      </c>
      <c r="G371" s="28">
        <f t="shared" si="2"/>
        <v>90.98797317</v>
      </c>
      <c r="H371" s="28">
        <f t="shared" si="3"/>
        <v>1.171167115</v>
      </c>
    </row>
    <row r="372" ht="12.75" customHeight="1">
      <c r="A372" s="49">
        <f t="shared" si="4"/>
        <v>367</v>
      </c>
      <c r="B372" s="50" t="s">
        <v>408</v>
      </c>
      <c r="C372" s="29"/>
      <c r="D372" s="53"/>
      <c r="E372" s="28">
        <f t="shared" si="5"/>
        <v>89.36484166</v>
      </c>
      <c r="F372" s="52">
        <f t="shared" si="6"/>
        <v>1.150274703</v>
      </c>
      <c r="G372" s="28">
        <f t="shared" si="2"/>
        <v>89.36484166</v>
      </c>
      <c r="H372" s="28">
        <f t="shared" si="3"/>
        <v>1.150274703</v>
      </c>
    </row>
    <row r="373" ht="12.75" customHeight="1">
      <c r="A373" s="49">
        <f t="shared" si="4"/>
        <v>368</v>
      </c>
      <c r="B373" s="50" t="s">
        <v>409</v>
      </c>
      <c r="C373" s="29"/>
      <c r="D373" s="53"/>
      <c r="E373" s="28">
        <f t="shared" si="5"/>
        <v>87.77066514</v>
      </c>
      <c r="F373" s="52">
        <f t="shared" si="6"/>
        <v>1.12975499</v>
      </c>
      <c r="G373" s="28">
        <f t="shared" si="2"/>
        <v>87.77066514</v>
      </c>
      <c r="H373" s="28">
        <f t="shared" si="3"/>
        <v>1.12975499</v>
      </c>
    </row>
    <row r="374" ht="12.75" customHeight="1">
      <c r="A374" s="49">
        <f t="shared" si="4"/>
        <v>369</v>
      </c>
      <c r="B374" s="50" t="s">
        <v>410</v>
      </c>
      <c r="C374" s="29"/>
      <c r="D374" s="53"/>
      <c r="E374" s="28">
        <f t="shared" si="5"/>
        <v>86.20492708</v>
      </c>
      <c r="F374" s="52">
        <f t="shared" si="6"/>
        <v>1.109601327</v>
      </c>
      <c r="G374" s="28">
        <f t="shared" si="2"/>
        <v>86.20492708</v>
      </c>
      <c r="H374" s="28">
        <f t="shared" si="3"/>
        <v>1.109601327</v>
      </c>
    </row>
    <row r="375" ht="12.75" customHeight="1">
      <c r="A375" s="49">
        <f t="shared" si="4"/>
        <v>370</v>
      </c>
      <c r="B375" s="50" t="s">
        <v>411</v>
      </c>
      <c r="C375" s="29"/>
      <c r="D375" s="53"/>
      <c r="E375" s="28">
        <f t="shared" si="5"/>
        <v>84.66712018</v>
      </c>
      <c r="F375" s="52">
        <f t="shared" si="6"/>
        <v>1.089807185</v>
      </c>
      <c r="G375" s="28">
        <f t="shared" si="2"/>
        <v>84.66712018</v>
      </c>
      <c r="H375" s="28">
        <f t="shared" si="3"/>
        <v>1.089807185</v>
      </c>
    </row>
    <row r="376" ht="12.75" customHeight="1">
      <c r="A376" s="49">
        <f t="shared" si="4"/>
        <v>371</v>
      </c>
      <c r="B376" s="50" t="s">
        <v>412</v>
      </c>
      <c r="C376" s="29"/>
      <c r="D376" s="53"/>
      <c r="E376" s="28">
        <f t="shared" si="5"/>
        <v>83.15674616</v>
      </c>
      <c r="F376" s="52">
        <f t="shared" si="6"/>
        <v>1.07036615</v>
      </c>
      <c r="G376" s="28">
        <f t="shared" si="2"/>
        <v>83.15674616</v>
      </c>
      <c r="H376" s="28">
        <f t="shared" si="3"/>
        <v>1.07036615</v>
      </c>
    </row>
    <row r="377" ht="12.75" customHeight="1">
      <c r="A377" s="49">
        <f t="shared" si="4"/>
        <v>372</v>
      </c>
      <c r="B377" s="50" t="s">
        <v>413</v>
      </c>
      <c r="C377" s="29"/>
      <c r="D377" s="53"/>
      <c r="E377" s="28">
        <f t="shared" si="5"/>
        <v>81.67331566</v>
      </c>
      <c r="F377" s="52">
        <f t="shared" si="6"/>
        <v>1.051271922</v>
      </c>
      <c r="G377" s="28">
        <f t="shared" si="2"/>
        <v>81.67331566</v>
      </c>
      <c r="H377" s="28">
        <f t="shared" si="3"/>
        <v>1.051271922</v>
      </c>
    </row>
    <row r="378" ht="12.75" customHeight="1">
      <c r="A378" s="49">
        <f t="shared" si="4"/>
        <v>373</v>
      </c>
      <c r="B378" s="50" t="s">
        <v>414</v>
      </c>
      <c r="C378" s="29"/>
      <c r="D378" s="53"/>
      <c r="E378" s="28">
        <f t="shared" si="5"/>
        <v>80.21634802</v>
      </c>
      <c r="F378" s="52">
        <f t="shared" si="6"/>
        <v>1.032518317</v>
      </c>
      <c r="G378" s="28">
        <f t="shared" si="2"/>
        <v>80.21634802</v>
      </c>
      <c r="H378" s="28">
        <f t="shared" si="3"/>
        <v>1.032518317</v>
      </c>
    </row>
    <row r="379" ht="12.75" customHeight="1">
      <c r="A379" s="49">
        <f t="shared" si="4"/>
        <v>374</v>
      </c>
      <c r="B379" s="50" t="s">
        <v>415</v>
      </c>
      <c r="C379" s="29"/>
      <c r="D379" s="53"/>
      <c r="E379" s="28">
        <f t="shared" si="5"/>
        <v>78.78537119</v>
      </c>
      <c r="F379" s="52">
        <f t="shared" si="6"/>
        <v>1.014099256</v>
      </c>
      <c r="G379" s="28">
        <f t="shared" si="2"/>
        <v>78.78537119</v>
      </c>
      <c r="H379" s="28">
        <f t="shared" si="3"/>
        <v>1.014099256</v>
      </c>
    </row>
    <row r="380" ht="12.75" customHeight="1">
      <c r="A380" s="49">
        <f t="shared" si="4"/>
        <v>375</v>
      </c>
      <c r="B380" s="50" t="s">
        <v>416</v>
      </c>
      <c r="C380" s="29"/>
      <c r="D380" s="53"/>
      <c r="E380" s="28">
        <f t="shared" si="5"/>
        <v>77.3799215</v>
      </c>
      <c r="F380" s="52">
        <f t="shared" si="6"/>
        <v>0.996008772</v>
      </c>
      <c r="G380" s="28">
        <f t="shared" si="2"/>
        <v>77.3799215</v>
      </c>
      <c r="H380" s="28">
        <f t="shared" si="3"/>
        <v>0.996008772</v>
      </c>
    </row>
    <row r="381" ht="12.75" customHeight="1">
      <c r="A381" s="49">
        <f t="shared" si="4"/>
        <v>376</v>
      </c>
      <c r="B381" s="50" t="s">
        <v>417</v>
      </c>
      <c r="C381" s="29"/>
      <c r="D381" s="53"/>
      <c r="E381" s="28">
        <f t="shared" si="5"/>
        <v>75.99954358</v>
      </c>
      <c r="F381" s="52">
        <f t="shared" si="6"/>
        <v>0.9782410038</v>
      </c>
      <c r="G381" s="28">
        <f t="shared" si="2"/>
        <v>75.99954358</v>
      </c>
      <c r="H381" s="28">
        <f t="shared" si="3"/>
        <v>0.9782410038</v>
      </c>
    </row>
    <row r="382" ht="12.75" customHeight="1">
      <c r="A382" s="49">
        <f t="shared" si="4"/>
        <v>377</v>
      </c>
      <c r="B382" s="50" t="s">
        <v>418</v>
      </c>
      <c r="C382" s="29"/>
      <c r="D382" s="53"/>
      <c r="E382" s="28">
        <f t="shared" si="5"/>
        <v>74.64379018</v>
      </c>
      <c r="F382" s="52">
        <f t="shared" si="6"/>
        <v>0.9607901942</v>
      </c>
      <c r="G382" s="28">
        <f t="shared" si="2"/>
        <v>74.64379018</v>
      </c>
      <c r="H382" s="28">
        <f t="shared" si="3"/>
        <v>0.9607901942</v>
      </c>
    </row>
    <row r="383" ht="12.75" customHeight="1">
      <c r="A383" s="49">
        <f t="shared" si="4"/>
        <v>378</v>
      </c>
      <c r="B383" s="50" t="s">
        <v>419</v>
      </c>
      <c r="C383" s="29"/>
      <c r="D383" s="53"/>
      <c r="E383" s="28">
        <f t="shared" si="5"/>
        <v>73.31222203</v>
      </c>
      <c r="F383" s="52">
        <f t="shared" si="6"/>
        <v>0.943650689</v>
      </c>
      <c r="G383" s="28">
        <f t="shared" si="2"/>
        <v>73.31222203</v>
      </c>
      <c r="H383" s="28">
        <f t="shared" si="3"/>
        <v>0.943650689</v>
      </c>
    </row>
    <row r="384" ht="12.75" customHeight="1">
      <c r="A384" s="49">
        <f t="shared" si="4"/>
        <v>379</v>
      </c>
      <c r="B384" s="50" t="s">
        <v>420</v>
      </c>
      <c r="C384" s="29"/>
      <c r="D384" s="53"/>
      <c r="E384" s="28">
        <f t="shared" si="5"/>
        <v>72.00440767</v>
      </c>
      <c r="F384" s="52">
        <f t="shared" si="6"/>
        <v>0.9268169349</v>
      </c>
      <c r="G384" s="28">
        <f t="shared" si="2"/>
        <v>72.00440767</v>
      </c>
      <c r="H384" s="28">
        <f t="shared" si="3"/>
        <v>0.9268169349</v>
      </c>
    </row>
    <row r="385" ht="12.75" customHeight="1">
      <c r="A385" s="49">
        <f t="shared" si="4"/>
        <v>380</v>
      </c>
      <c r="B385" s="50" t="s">
        <v>421</v>
      </c>
      <c r="C385" s="29"/>
      <c r="D385" s="53"/>
      <c r="E385" s="28">
        <f t="shared" si="5"/>
        <v>70.71992337</v>
      </c>
      <c r="F385" s="52">
        <f t="shared" si="6"/>
        <v>0.9102834776</v>
      </c>
      <c r="G385" s="28">
        <f t="shared" si="2"/>
        <v>70.71992337</v>
      </c>
      <c r="H385" s="28">
        <f t="shared" si="3"/>
        <v>0.9102834776</v>
      </c>
    </row>
    <row r="386" ht="12.75" customHeight="1">
      <c r="A386" s="49">
        <f t="shared" si="4"/>
        <v>381</v>
      </c>
      <c r="B386" s="50" t="s">
        <v>422</v>
      </c>
      <c r="C386" s="29"/>
      <c r="D386" s="53"/>
      <c r="E386" s="28">
        <f t="shared" si="5"/>
        <v>69.45835295</v>
      </c>
      <c r="F386" s="52">
        <f t="shared" si="6"/>
        <v>0.8940449601</v>
      </c>
      <c r="G386" s="28">
        <f t="shared" si="2"/>
        <v>69.45835295</v>
      </c>
      <c r="H386" s="28">
        <f t="shared" si="3"/>
        <v>0.8940449601</v>
      </c>
    </row>
    <row r="387" ht="12.75" customHeight="1">
      <c r="A387" s="49">
        <f t="shared" si="4"/>
        <v>382</v>
      </c>
      <c r="B387" s="50" t="s">
        <v>423</v>
      </c>
      <c r="C387" s="29"/>
      <c r="D387" s="53"/>
      <c r="E387" s="28">
        <f t="shared" si="5"/>
        <v>68.21928764</v>
      </c>
      <c r="F387" s="52">
        <f t="shared" si="6"/>
        <v>0.878096121</v>
      </c>
      <c r="G387" s="28">
        <f t="shared" si="2"/>
        <v>68.21928764</v>
      </c>
      <c r="H387" s="28">
        <f t="shared" si="3"/>
        <v>0.878096121</v>
      </c>
    </row>
    <row r="388" ht="12.75" customHeight="1">
      <c r="A388" s="49">
        <f t="shared" si="4"/>
        <v>383</v>
      </c>
      <c r="B388" s="50" t="s">
        <v>424</v>
      </c>
      <c r="C388" s="29"/>
      <c r="D388" s="53"/>
      <c r="E388" s="28">
        <f t="shared" si="5"/>
        <v>67.00232597</v>
      </c>
      <c r="F388" s="52">
        <f t="shared" si="6"/>
        <v>0.8624317927</v>
      </c>
      <c r="G388" s="28">
        <f t="shared" si="2"/>
        <v>67.00232597</v>
      </c>
      <c r="H388" s="28">
        <f t="shared" si="3"/>
        <v>0.8624317927</v>
      </c>
    </row>
    <row r="389" ht="12.75" customHeight="1">
      <c r="A389" s="49">
        <f t="shared" si="4"/>
        <v>384</v>
      </c>
      <c r="B389" s="50" t="s">
        <v>425</v>
      </c>
      <c r="C389" s="29"/>
      <c r="D389" s="53"/>
      <c r="E389" s="28">
        <f t="shared" si="5"/>
        <v>65.80707365</v>
      </c>
      <c r="F389" s="52">
        <f t="shared" si="6"/>
        <v>0.8470468998</v>
      </c>
      <c r="G389" s="28">
        <f t="shared" si="2"/>
        <v>65.80707365</v>
      </c>
      <c r="H389" s="28">
        <f t="shared" si="3"/>
        <v>0.8470468998</v>
      </c>
    </row>
    <row r="390" ht="12.75" customHeight="1">
      <c r="A390" s="49">
        <f t="shared" si="4"/>
        <v>385</v>
      </c>
      <c r="B390" s="50" t="s">
        <v>426</v>
      </c>
      <c r="C390" s="29"/>
      <c r="D390" s="53"/>
      <c r="E390" s="28">
        <f t="shared" si="5"/>
        <v>64.63314339</v>
      </c>
      <c r="F390" s="52">
        <f t="shared" si="6"/>
        <v>0.8319364576</v>
      </c>
      <c r="G390" s="28">
        <f t="shared" si="2"/>
        <v>64.63314339</v>
      </c>
      <c r="H390" s="28">
        <f t="shared" si="3"/>
        <v>0.8319364576</v>
      </c>
    </row>
    <row r="391" ht="12.75" customHeight="1">
      <c r="A391" s="49">
        <f t="shared" si="4"/>
        <v>386</v>
      </c>
      <c r="B391" s="50" t="s">
        <v>427</v>
      </c>
      <c r="C391" s="29"/>
      <c r="D391" s="53"/>
      <c r="E391" s="28">
        <f t="shared" si="5"/>
        <v>63.48015484</v>
      </c>
      <c r="F391" s="52">
        <f t="shared" si="6"/>
        <v>0.81709557</v>
      </c>
      <c r="G391" s="28">
        <f t="shared" si="2"/>
        <v>63.48015484</v>
      </c>
      <c r="H391" s="28">
        <f t="shared" si="3"/>
        <v>0.81709557</v>
      </c>
    </row>
    <row r="392" ht="12.75" customHeight="1">
      <c r="A392" s="49">
        <f t="shared" si="4"/>
        <v>387</v>
      </c>
      <c r="B392" s="50" t="s">
        <v>428</v>
      </c>
      <c r="C392" s="29"/>
      <c r="D392" s="53"/>
      <c r="E392" s="28">
        <f t="shared" si="5"/>
        <v>62.34773441</v>
      </c>
      <c r="F392" s="52">
        <f t="shared" si="6"/>
        <v>0.8025194286</v>
      </c>
      <c r="G392" s="28">
        <f t="shared" si="2"/>
        <v>62.34773441</v>
      </c>
      <c r="H392" s="28">
        <f t="shared" si="3"/>
        <v>0.8025194286</v>
      </c>
    </row>
    <row r="393" ht="12.75" customHeight="1">
      <c r="A393" s="49">
        <f t="shared" si="4"/>
        <v>388</v>
      </c>
      <c r="B393" s="50" t="s">
        <v>429</v>
      </c>
      <c r="C393" s="29"/>
      <c r="D393" s="53"/>
      <c r="E393" s="28">
        <f t="shared" si="5"/>
        <v>61.23551519</v>
      </c>
      <c r="F393" s="52">
        <f t="shared" si="6"/>
        <v>0.7882033105</v>
      </c>
      <c r="G393" s="28">
        <f t="shared" si="2"/>
        <v>61.23551519</v>
      </c>
      <c r="H393" s="28">
        <f t="shared" si="3"/>
        <v>0.7882033105</v>
      </c>
    </row>
    <row r="394" ht="12.75" customHeight="1">
      <c r="A394" s="49">
        <f t="shared" si="4"/>
        <v>389</v>
      </c>
      <c r="B394" s="50" t="s">
        <v>430</v>
      </c>
      <c r="C394" s="29"/>
      <c r="D394" s="53"/>
      <c r="E394" s="28">
        <f t="shared" si="5"/>
        <v>60.14313682</v>
      </c>
      <c r="F394" s="52">
        <f t="shared" si="6"/>
        <v>0.7741425771</v>
      </c>
      <c r="G394" s="28">
        <f t="shared" si="2"/>
        <v>60.14313682</v>
      </c>
      <c r="H394" s="28">
        <f t="shared" si="3"/>
        <v>0.7741425771</v>
      </c>
    </row>
    <row r="395" ht="12.75" customHeight="1">
      <c r="A395" s="49">
        <f t="shared" si="4"/>
        <v>390</v>
      </c>
      <c r="B395" s="50" t="s">
        <v>431</v>
      </c>
      <c r="C395" s="29"/>
      <c r="D395" s="53"/>
      <c r="E395" s="28">
        <f t="shared" si="5"/>
        <v>59.07024535</v>
      </c>
      <c r="F395" s="52">
        <f t="shared" si="6"/>
        <v>0.7603326727</v>
      </c>
      <c r="G395" s="28">
        <f t="shared" si="2"/>
        <v>59.07024535</v>
      </c>
      <c r="H395" s="28">
        <f t="shared" si="3"/>
        <v>0.7603326727</v>
      </c>
    </row>
    <row r="396" ht="12.75" customHeight="1">
      <c r="A396" s="49">
        <f t="shared" si="4"/>
        <v>391</v>
      </c>
      <c r="B396" s="50" t="s">
        <v>432</v>
      </c>
      <c r="C396" s="29"/>
      <c r="D396" s="53"/>
      <c r="E396" s="28">
        <f t="shared" si="5"/>
        <v>58.01649315</v>
      </c>
      <c r="F396" s="52">
        <f t="shared" si="6"/>
        <v>0.7467691228</v>
      </c>
      <c r="G396" s="28">
        <f t="shared" si="2"/>
        <v>58.01649315</v>
      </c>
      <c r="H396" s="28">
        <f t="shared" si="3"/>
        <v>0.7467691228</v>
      </c>
    </row>
    <row r="397" ht="12.75" customHeight="1">
      <c r="A397" s="49">
        <f t="shared" si="4"/>
        <v>392</v>
      </c>
      <c r="B397" s="50" t="s">
        <v>433</v>
      </c>
      <c r="C397" s="29"/>
      <c r="D397" s="53"/>
      <c r="E397" s="28">
        <f t="shared" si="5"/>
        <v>56.98153881</v>
      </c>
      <c r="F397" s="52">
        <f t="shared" si="6"/>
        <v>0.7334475326</v>
      </c>
      <c r="G397" s="28">
        <f t="shared" si="2"/>
        <v>56.98153881</v>
      </c>
      <c r="H397" s="28">
        <f t="shared" si="3"/>
        <v>0.7334475326</v>
      </c>
    </row>
    <row r="398" ht="12.75" customHeight="1">
      <c r="A398" s="49">
        <f t="shared" si="4"/>
        <v>393</v>
      </c>
      <c r="B398" s="50" t="s">
        <v>434</v>
      </c>
      <c r="C398" s="29"/>
      <c r="D398" s="53"/>
      <c r="E398" s="28">
        <f t="shared" si="5"/>
        <v>55.96504698</v>
      </c>
      <c r="F398" s="52">
        <f t="shared" si="6"/>
        <v>0.7203635858</v>
      </c>
      <c r="G398" s="28">
        <f t="shared" si="2"/>
        <v>55.96504698</v>
      </c>
      <c r="H398" s="28">
        <f t="shared" si="3"/>
        <v>0.7203635858</v>
      </c>
    </row>
    <row r="399" ht="12.75" customHeight="1">
      <c r="A399" s="49">
        <f t="shared" si="4"/>
        <v>394</v>
      </c>
      <c r="B399" s="50" t="s">
        <v>435</v>
      </c>
      <c r="C399" s="29"/>
      <c r="D399" s="53"/>
      <c r="E399" s="28">
        <f t="shared" si="5"/>
        <v>54.96668832</v>
      </c>
      <c r="F399" s="52">
        <f t="shared" si="6"/>
        <v>0.7075130431</v>
      </c>
      <c r="G399" s="28">
        <f t="shared" si="2"/>
        <v>54.96668832</v>
      </c>
      <c r="H399" s="28">
        <f t="shared" si="3"/>
        <v>0.7075130431</v>
      </c>
    </row>
    <row r="400" ht="12.75" customHeight="1">
      <c r="A400" s="49">
        <f t="shared" si="4"/>
        <v>395</v>
      </c>
      <c r="B400" s="50" t="s">
        <v>436</v>
      </c>
      <c r="C400" s="29"/>
      <c r="D400" s="53"/>
      <c r="E400" s="28">
        <f t="shared" si="5"/>
        <v>53.98613934</v>
      </c>
      <c r="F400" s="52">
        <f t="shared" si="6"/>
        <v>0.6948917408</v>
      </c>
      <c r="G400" s="28">
        <f t="shared" si="2"/>
        <v>53.98613934</v>
      </c>
      <c r="H400" s="28">
        <f t="shared" si="3"/>
        <v>0.6948917408</v>
      </c>
    </row>
    <row r="401" ht="12.75" customHeight="1">
      <c r="A401" s="49">
        <f t="shared" si="4"/>
        <v>396</v>
      </c>
      <c r="B401" s="50" t="s">
        <v>437</v>
      </c>
      <c r="C401" s="29"/>
      <c r="D401" s="53"/>
      <c r="E401" s="28">
        <f t="shared" si="5"/>
        <v>53.02308235</v>
      </c>
      <c r="F401" s="52">
        <f t="shared" si="6"/>
        <v>0.6824955895</v>
      </c>
      <c r="G401" s="28">
        <f t="shared" si="2"/>
        <v>53.02308235</v>
      </c>
      <c r="H401" s="28">
        <f t="shared" si="3"/>
        <v>0.6824955895</v>
      </c>
    </row>
    <row r="402" ht="12.75" customHeight="1">
      <c r="A402" s="49">
        <f t="shared" si="4"/>
        <v>397</v>
      </c>
      <c r="B402" s="50" t="s">
        <v>438</v>
      </c>
      <c r="C402" s="29"/>
      <c r="D402" s="53"/>
      <c r="E402" s="28">
        <f t="shared" si="5"/>
        <v>52.0772053</v>
      </c>
      <c r="F402" s="52">
        <f t="shared" si="6"/>
        <v>0.6703205728</v>
      </c>
      <c r="G402" s="28">
        <f t="shared" si="2"/>
        <v>52.0772053</v>
      </c>
      <c r="H402" s="28">
        <f t="shared" si="3"/>
        <v>0.6703205728</v>
      </c>
    </row>
    <row r="403" ht="12.75" customHeight="1">
      <c r="A403" s="49">
        <f t="shared" si="4"/>
        <v>398</v>
      </c>
      <c r="B403" s="50" t="s">
        <v>439</v>
      </c>
      <c r="C403" s="29"/>
      <c r="D403" s="53"/>
      <c r="E403" s="28">
        <f t="shared" si="5"/>
        <v>51.14820172</v>
      </c>
      <c r="F403" s="52">
        <f t="shared" si="6"/>
        <v>0.6583627458</v>
      </c>
      <c r="G403" s="28">
        <f t="shared" si="2"/>
        <v>51.14820172</v>
      </c>
      <c r="H403" s="28">
        <f t="shared" si="3"/>
        <v>0.6583627458</v>
      </c>
    </row>
    <row r="404" ht="12.75" customHeight="1">
      <c r="A404" s="49">
        <f t="shared" si="4"/>
        <v>399</v>
      </c>
      <c r="B404" s="50" t="s">
        <v>440</v>
      </c>
      <c r="C404" s="29"/>
      <c r="D404" s="53"/>
      <c r="E404" s="28">
        <f t="shared" si="5"/>
        <v>50.2357706</v>
      </c>
      <c r="F404" s="52">
        <f t="shared" si="6"/>
        <v>0.6466182341</v>
      </c>
      <c r="G404" s="28">
        <f t="shared" si="2"/>
        <v>50.2357706</v>
      </c>
      <c r="H404" s="28">
        <f t="shared" si="3"/>
        <v>0.6466182341</v>
      </c>
    </row>
    <row r="405" ht="12.75" customHeight="1">
      <c r="A405" s="49">
        <f t="shared" si="4"/>
        <v>400</v>
      </c>
      <c r="B405" s="50" t="s">
        <v>441</v>
      </c>
      <c r="C405" s="29"/>
      <c r="D405" s="53"/>
      <c r="E405" s="28">
        <f t="shared" si="5"/>
        <v>49.33961632</v>
      </c>
      <c r="F405" s="52">
        <f t="shared" si="6"/>
        <v>0.6350832323</v>
      </c>
      <c r="G405" s="28">
        <f t="shared" si="2"/>
        <v>49.33961632</v>
      </c>
      <c r="H405" s="28">
        <f t="shared" si="3"/>
        <v>0.6350832323</v>
      </c>
    </row>
    <row r="406" ht="12.75" customHeight="1">
      <c r="A406" s="49">
        <f t="shared" si="4"/>
        <v>401</v>
      </c>
      <c r="B406" s="50" t="s">
        <v>442</v>
      </c>
      <c r="C406" s="29"/>
      <c r="D406" s="53"/>
      <c r="E406" s="28">
        <f t="shared" si="5"/>
        <v>48.4594485</v>
      </c>
      <c r="F406" s="52">
        <f t="shared" si="6"/>
        <v>0.6237540031</v>
      </c>
      <c r="G406" s="28">
        <f t="shared" si="2"/>
        <v>48.4594485</v>
      </c>
      <c r="H406" s="28">
        <f t="shared" si="3"/>
        <v>0.6237540031</v>
      </c>
    </row>
    <row r="407" ht="12.75" customHeight="1">
      <c r="A407" s="49">
        <f t="shared" si="4"/>
        <v>402</v>
      </c>
      <c r="B407" s="50" t="s">
        <v>443</v>
      </c>
      <c r="C407" s="29"/>
      <c r="D407" s="53"/>
      <c r="E407" s="28">
        <f t="shared" si="5"/>
        <v>47.59498197</v>
      </c>
      <c r="F407" s="52">
        <f t="shared" si="6"/>
        <v>0.6126268756</v>
      </c>
      <c r="G407" s="28">
        <f t="shared" si="2"/>
        <v>47.59498197</v>
      </c>
      <c r="H407" s="28">
        <f t="shared" si="3"/>
        <v>0.6126268756</v>
      </c>
    </row>
    <row r="408" ht="12.75" customHeight="1">
      <c r="A408" s="49">
        <f t="shared" si="4"/>
        <v>403</v>
      </c>
      <c r="B408" s="50" t="s">
        <v>444</v>
      </c>
      <c r="C408" s="29"/>
      <c r="D408" s="53"/>
      <c r="E408" s="28">
        <f t="shared" si="5"/>
        <v>46.74593662</v>
      </c>
      <c r="F408" s="52">
        <f t="shared" si="6"/>
        <v>0.6016982446</v>
      </c>
      <c r="G408" s="28">
        <f t="shared" si="2"/>
        <v>46.74593662</v>
      </c>
      <c r="H408" s="28">
        <f t="shared" si="3"/>
        <v>0.6016982446</v>
      </c>
    </row>
    <row r="409" ht="12.75" customHeight="1">
      <c r="A409" s="49">
        <f t="shared" si="4"/>
        <v>404</v>
      </c>
      <c r="B409" s="50" t="s">
        <v>445</v>
      </c>
      <c r="C409" s="29"/>
      <c r="D409" s="53"/>
      <c r="E409" s="28">
        <f t="shared" si="5"/>
        <v>45.91203737</v>
      </c>
      <c r="F409" s="52">
        <f t="shared" si="6"/>
        <v>0.5909645691</v>
      </c>
      <c r="G409" s="28">
        <f t="shared" si="2"/>
        <v>45.91203737</v>
      </c>
      <c r="H409" s="28">
        <f t="shared" si="3"/>
        <v>0.5909645691</v>
      </c>
    </row>
    <row r="410" ht="12.75" customHeight="1">
      <c r="A410" s="49">
        <f t="shared" si="4"/>
        <v>405</v>
      </c>
      <c r="B410" s="50" t="s">
        <v>446</v>
      </c>
      <c r="C410" s="29"/>
      <c r="D410" s="53"/>
      <c r="E410" s="28">
        <f t="shared" si="5"/>
        <v>45.09301402</v>
      </c>
      <c r="F410" s="52">
        <f t="shared" si="6"/>
        <v>0.5804223713</v>
      </c>
      <c r="G410" s="28">
        <f t="shared" si="2"/>
        <v>45.09301402</v>
      </c>
      <c r="H410" s="28">
        <f t="shared" si="3"/>
        <v>0.5804223713</v>
      </c>
    </row>
    <row r="411" ht="12.75" customHeight="1">
      <c r="A411" s="49">
        <f t="shared" si="4"/>
        <v>406</v>
      </c>
      <c r="B411" s="50" t="s">
        <v>447</v>
      </c>
      <c r="C411" s="29"/>
      <c r="D411" s="53"/>
      <c r="E411" s="28">
        <f t="shared" si="5"/>
        <v>44.2886012</v>
      </c>
      <c r="F411" s="52">
        <f t="shared" si="6"/>
        <v>0.5700682354</v>
      </c>
      <c r="G411" s="28">
        <f t="shared" si="2"/>
        <v>44.2886012</v>
      </c>
      <c r="H411" s="28">
        <f t="shared" si="3"/>
        <v>0.5700682354</v>
      </c>
    </row>
    <row r="412" ht="12.75" customHeight="1">
      <c r="A412" s="49">
        <f t="shared" si="4"/>
        <v>407</v>
      </c>
      <c r="B412" s="50" t="s">
        <v>448</v>
      </c>
      <c r="C412" s="29"/>
      <c r="D412" s="53"/>
      <c r="E412" s="28">
        <f t="shared" si="5"/>
        <v>43.49853828</v>
      </c>
      <c r="F412" s="52">
        <f t="shared" si="6"/>
        <v>0.5598988065</v>
      </c>
      <c r="G412" s="28">
        <f t="shared" si="2"/>
        <v>43.49853828</v>
      </c>
      <c r="H412" s="28">
        <f t="shared" si="3"/>
        <v>0.5598988065</v>
      </c>
    </row>
    <row r="413" ht="12.75" customHeight="1">
      <c r="A413" s="49">
        <f t="shared" si="4"/>
        <v>408</v>
      </c>
      <c r="B413" s="50" t="s">
        <v>449</v>
      </c>
      <c r="C413" s="29"/>
      <c r="D413" s="53"/>
      <c r="E413" s="28">
        <f t="shared" si="5"/>
        <v>42.72256926</v>
      </c>
      <c r="F413" s="52">
        <f t="shared" si="6"/>
        <v>0.5499107899</v>
      </c>
      <c r="G413" s="28">
        <f t="shared" si="2"/>
        <v>42.72256926</v>
      </c>
      <c r="H413" s="28">
        <f t="shared" si="3"/>
        <v>0.5499107899</v>
      </c>
    </row>
    <row r="414" ht="12.75" customHeight="1">
      <c r="A414" s="49">
        <f t="shared" si="4"/>
        <v>409</v>
      </c>
      <c r="B414" s="50" t="s">
        <v>450</v>
      </c>
      <c r="C414" s="29"/>
      <c r="D414" s="53"/>
      <c r="E414" s="28">
        <f t="shared" si="5"/>
        <v>41.96044273</v>
      </c>
      <c r="F414" s="52">
        <f t="shared" si="6"/>
        <v>0.5401009491</v>
      </c>
      <c r="G414" s="28">
        <f t="shared" si="2"/>
        <v>41.96044273</v>
      </c>
      <c r="H414" s="28">
        <f t="shared" si="3"/>
        <v>0.5401009491</v>
      </c>
    </row>
    <row r="415" ht="12.75" customHeight="1">
      <c r="A415" s="49">
        <f t="shared" si="4"/>
        <v>410</v>
      </c>
      <c r="B415" s="50" t="s">
        <v>451</v>
      </c>
      <c r="C415" s="29"/>
      <c r="D415" s="53"/>
      <c r="E415" s="28">
        <f t="shared" si="5"/>
        <v>41.21191175</v>
      </c>
      <c r="F415" s="52">
        <f t="shared" si="6"/>
        <v>0.5304661057</v>
      </c>
      <c r="G415" s="28">
        <f t="shared" si="2"/>
        <v>41.21191175</v>
      </c>
      <c r="H415" s="28">
        <f t="shared" si="3"/>
        <v>0.5304661057</v>
      </c>
    </row>
    <row r="416" ht="12.75" customHeight="1">
      <c r="A416" s="49">
        <f t="shared" si="4"/>
        <v>411</v>
      </c>
      <c r="B416" s="50" t="s">
        <v>452</v>
      </c>
      <c r="C416" s="29"/>
      <c r="D416" s="53"/>
      <c r="E416" s="28">
        <f t="shared" si="5"/>
        <v>40.47673379</v>
      </c>
      <c r="F416" s="52">
        <f t="shared" si="6"/>
        <v>0.521003138</v>
      </c>
      <c r="G416" s="28">
        <f t="shared" si="2"/>
        <v>40.47673379</v>
      </c>
      <c r="H416" s="28">
        <f t="shared" si="3"/>
        <v>0.521003138</v>
      </c>
    </row>
    <row r="417" ht="12.75" customHeight="1">
      <c r="A417" s="49">
        <f t="shared" si="4"/>
        <v>412</v>
      </c>
      <c r="B417" s="50" t="s">
        <v>453</v>
      </c>
      <c r="C417" s="29"/>
      <c r="D417" s="53"/>
      <c r="E417" s="28">
        <f t="shared" si="5"/>
        <v>39.75467065</v>
      </c>
      <c r="F417" s="52">
        <f t="shared" si="6"/>
        <v>0.5117089799</v>
      </c>
      <c r="G417" s="28">
        <f t="shared" si="2"/>
        <v>39.75467065</v>
      </c>
      <c r="H417" s="28">
        <f t="shared" si="3"/>
        <v>0.5117089799</v>
      </c>
    </row>
    <row r="418" ht="12.75" customHeight="1">
      <c r="A418" s="49">
        <f t="shared" si="4"/>
        <v>413</v>
      </c>
      <c r="B418" s="50" t="s">
        <v>454</v>
      </c>
      <c r="C418" s="29"/>
      <c r="D418" s="53"/>
      <c r="E418" s="28">
        <f t="shared" si="5"/>
        <v>39.04548837</v>
      </c>
      <c r="F418" s="52">
        <f t="shared" si="6"/>
        <v>0.50258062</v>
      </c>
      <c r="G418" s="28">
        <f t="shared" si="2"/>
        <v>39.04548837</v>
      </c>
      <c r="H418" s="28">
        <f t="shared" si="3"/>
        <v>0.50258062</v>
      </c>
    </row>
    <row r="419" ht="12.75" customHeight="1">
      <c r="A419" s="49">
        <f t="shared" si="4"/>
        <v>414</v>
      </c>
      <c r="B419" s="50" t="s">
        <v>455</v>
      </c>
      <c r="C419" s="29"/>
      <c r="D419" s="53"/>
      <c r="E419" s="28">
        <f t="shared" si="5"/>
        <v>38.34895716</v>
      </c>
      <c r="F419" s="52">
        <f t="shared" si="6"/>
        <v>0.4936151005</v>
      </c>
      <c r="G419" s="28">
        <f t="shared" si="2"/>
        <v>38.34895716</v>
      </c>
      <c r="H419" s="28">
        <f t="shared" si="3"/>
        <v>0.4936151005</v>
      </c>
    </row>
    <row r="420" ht="12.75" customHeight="1">
      <c r="A420" s="49">
        <f t="shared" si="4"/>
        <v>415</v>
      </c>
      <c r="B420" s="50" t="s">
        <v>456</v>
      </c>
      <c r="C420" s="29"/>
      <c r="D420" s="53"/>
      <c r="E420" s="28">
        <f t="shared" si="5"/>
        <v>37.66485136</v>
      </c>
      <c r="F420" s="52">
        <f t="shared" si="6"/>
        <v>0.4848095167</v>
      </c>
      <c r="G420" s="28">
        <f t="shared" si="2"/>
        <v>37.66485136</v>
      </c>
      <c r="H420" s="28">
        <f t="shared" si="3"/>
        <v>0.4848095167</v>
      </c>
    </row>
    <row r="421" ht="12.75" customHeight="1">
      <c r="A421" s="49">
        <f t="shared" si="4"/>
        <v>416</v>
      </c>
      <c r="B421" s="50" t="s">
        <v>457</v>
      </c>
      <c r="C421" s="29"/>
      <c r="D421" s="53"/>
      <c r="E421" s="28">
        <f t="shared" si="5"/>
        <v>36.99294929</v>
      </c>
      <c r="F421" s="52">
        <f t="shared" si="6"/>
        <v>0.4761610155</v>
      </c>
      <c r="G421" s="28">
        <f t="shared" si="2"/>
        <v>36.99294929</v>
      </c>
      <c r="H421" s="28">
        <f t="shared" si="3"/>
        <v>0.4761610155</v>
      </c>
    </row>
    <row r="422" ht="12.75" customHeight="1">
      <c r="A422" s="49">
        <f t="shared" si="4"/>
        <v>417</v>
      </c>
      <c r="B422" s="50" t="s">
        <v>458</v>
      </c>
      <c r="C422" s="29"/>
      <c r="D422" s="53"/>
      <c r="E422" s="28">
        <f t="shared" si="5"/>
        <v>36.33303327</v>
      </c>
      <c r="F422" s="52">
        <f t="shared" si="6"/>
        <v>0.4676667945</v>
      </c>
      <c r="G422" s="28">
        <f t="shared" si="2"/>
        <v>36.33303327</v>
      </c>
      <c r="H422" s="28">
        <f t="shared" si="3"/>
        <v>0.4676667945</v>
      </c>
    </row>
    <row r="423" ht="12.75" customHeight="1">
      <c r="A423" s="49">
        <f t="shared" si="4"/>
        <v>418</v>
      </c>
      <c r="B423" s="50" t="s">
        <v>459</v>
      </c>
      <c r="C423" s="29"/>
      <c r="D423" s="53"/>
      <c r="E423" s="28">
        <f t="shared" si="5"/>
        <v>35.68488946</v>
      </c>
      <c r="F423" s="52">
        <f t="shared" si="6"/>
        <v>0.4593241017</v>
      </c>
      <c r="G423" s="28">
        <f t="shared" si="2"/>
        <v>35.68488946</v>
      </c>
      <c r="H423" s="28">
        <f t="shared" si="3"/>
        <v>0.4593241017</v>
      </c>
    </row>
    <row r="424" ht="12.75" customHeight="1">
      <c r="A424" s="49">
        <f t="shared" si="4"/>
        <v>419</v>
      </c>
      <c r="B424" s="50" t="s">
        <v>460</v>
      </c>
      <c r="C424" s="29"/>
      <c r="D424" s="53"/>
      <c r="E424" s="28">
        <f t="shared" si="5"/>
        <v>35.04830787</v>
      </c>
      <c r="F424" s="52">
        <f t="shared" si="6"/>
        <v>0.4511302339</v>
      </c>
      <c r="G424" s="28">
        <f t="shared" si="2"/>
        <v>35.04830787</v>
      </c>
      <c r="H424" s="28">
        <f t="shared" si="3"/>
        <v>0.4511302339</v>
      </c>
    </row>
    <row r="425" ht="12.75" customHeight="1">
      <c r="A425" s="49">
        <f t="shared" si="4"/>
        <v>420</v>
      </c>
      <c r="B425" s="50" t="s">
        <v>461</v>
      </c>
      <c r="C425" s="29"/>
      <c r="D425" s="53"/>
      <c r="E425" s="28">
        <f t="shared" si="5"/>
        <v>34.42308224</v>
      </c>
      <c r="F425" s="52">
        <f t="shared" si="6"/>
        <v>0.4430825363</v>
      </c>
      <c r="G425" s="28">
        <f t="shared" si="2"/>
        <v>34.42308224</v>
      </c>
      <c r="H425" s="28">
        <f t="shared" si="3"/>
        <v>0.4430825363</v>
      </c>
    </row>
    <row r="426" ht="12.75" customHeight="1">
      <c r="A426" s="49">
        <f t="shared" si="4"/>
        <v>421</v>
      </c>
      <c r="B426" s="50" t="s">
        <v>462</v>
      </c>
      <c r="C426" s="29"/>
      <c r="D426" s="53"/>
      <c r="E426" s="28">
        <f t="shared" si="5"/>
        <v>33.80900999</v>
      </c>
      <c r="F426" s="52">
        <f t="shared" si="6"/>
        <v>0.4351784012</v>
      </c>
      <c r="G426" s="28">
        <f t="shared" si="2"/>
        <v>33.80900999</v>
      </c>
      <c r="H426" s="28">
        <f t="shared" si="3"/>
        <v>0.4351784012</v>
      </c>
    </row>
    <row r="427" ht="12.75" customHeight="1">
      <c r="A427" s="49">
        <f t="shared" si="4"/>
        <v>422</v>
      </c>
      <c r="B427" s="50" t="s">
        <v>463</v>
      </c>
      <c r="C427" s="29"/>
      <c r="D427" s="53"/>
      <c r="E427" s="28">
        <f t="shared" si="5"/>
        <v>33.20589216</v>
      </c>
      <c r="F427" s="52">
        <f t="shared" si="6"/>
        <v>0.4274152678</v>
      </c>
      <c r="G427" s="28">
        <f t="shared" si="2"/>
        <v>33.20589216</v>
      </c>
      <c r="H427" s="28">
        <f t="shared" si="3"/>
        <v>0.4274152678</v>
      </c>
    </row>
    <row r="428" ht="12.75" customHeight="1">
      <c r="A428" s="49">
        <f t="shared" si="4"/>
        <v>423</v>
      </c>
      <c r="B428" s="50" t="s">
        <v>464</v>
      </c>
      <c r="C428" s="29"/>
      <c r="D428" s="53"/>
      <c r="E428" s="28">
        <f t="shared" si="5"/>
        <v>32.61353332</v>
      </c>
      <c r="F428" s="52">
        <f t="shared" si="6"/>
        <v>0.4197906207</v>
      </c>
      <c r="G428" s="28">
        <f t="shared" si="2"/>
        <v>32.61353332</v>
      </c>
      <c r="H428" s="28">
        <f t="shared" si="3"/>
        <v>0.4197906207</v>
      </c>
    </row>
    <row r="429" ht="12.75" customHeight="1">
      <c r="A429" s="49">
        <f t="shared" si="4"/>
        <v>424</v>
      </c>
      <c r="B429" s="50" t="s">
        <v>465</v>
      </c>
      <c r="C429" s="29"/>
      <c r="D429" s="53"/>
      <c r="E429" s="28">
        <f t="shared" si="5"/>
        <v>32.03174156</v>
      </c>
      <c r="F429" s="52">
        <f t="shared" si="6"/>
        <v>0.4123019894</v>
      </c>
      <c r="G429" s="28">
        <f t="shared" si="2"/>
        <v>32.03174156</v>
      </c>
      <c r="H429" s="28">
        <f t="shared" si="3"/>
        <v>0.4123019894</v>
      </c>
    </row>
    <row r="430" ht="12.75" customHeight="1">
      <c r="A430" s="49">
        <f t="shared" si="4"/>
        <v>425</v>
      </c>
      <c r="B430" s="50" t="s">
        <v>466</v>
      </c>
      <c r="C430" s="29"/>
      <c r="D430" s="53"/>
      <c r="E430" s="28">
        <f t="shared" si="5"/>
        <v>31.46032835</v>
      </c>
      <c r="F430" s="52">
        <f t="shared" si="6"/>
        <v>0.4049469475</v>
      </c>
      <c r="G430" s="28">
        <f t="shared" si="2"/>
        <v>31.46032835</v>
      </c>
      <c r="H430" s="28">
        <f t="shared" si="3"/>
        <v>0.4049469475</v>
      </c>
    </row>
    <row r="431" ht="12.75" customHeight="1">
      <c r="A431" s="49">
        <f t="shared" si="4"/>
        <v>426</v>
      </c>
      <c r="B431" s="50" t="s">
        <v>467</v>
      </c>
      <c r="C431" s="29"/>
      <c r="D431" s="53"/>
      <c r="E431" s="28">
        <f t="shared" si="5"/>
        <v>30.89910858</v>
      </c>
      <c r="F431" s="52">
        <f t="shared" si="6"/>
        <v>0.3977231121</v>
      </c>
      <c r="G431" s="28">
        <f t="shared" si="2"/>
        <v>30.89910858</v>
      </c>
      <c r="H431" s="28">
        <f t="shared" si="3"/>
        <v>0.3977231121</v>
      </c>
    </row>
    <row r="432" ht="12.75" customHeight="1">
      <c r="A432" s="49">
        <f t="shared" si="4"/>
        <v>427</v>
      </c>
      <c r="B432" s="50" t="s">
        <v>468</v>
      </c>
      <c r="C432" s="29"/>
      <c r="D432" s="53"/>
      <c r="E432" s="28">
        <f t="shared" si="5"/>
        <v>30.34790038</v>
      </c>
      <c r="F432" s="52">
        <f t="shared" si="6"/>
        <v>0.3906281423</v>
      </c>
      <c r="G432" s="28">
        <f t="shared" si="2"/>
        <v>30.34790038</v>
      </c>
      <c r="H432" s="28">
        <f t="shared" si="3"/>
        <v>0.3906281423</v>
      </c>
    </row>
    <row r="433" ht="12.75" customHeight="1">
      <c r="A433" s="49">
        <f t="shared" si="4"/>
        <v>428</v>
      </c>
      <c r="B433" s="50" t="s">
        <v>469</v>
      </c>
      <c r="C433" s="29"/>
      <c r="D433" s="53"/>
      <c r="E433" s="28">
        <f t="shared" si="5"/>
        <v>29.80652516</v>
      </c>
      <c r="F433" s="52">
        <f t="shared" si="6"/>
        <v>0.3836597395</v>
      </c>
      <c r="G433" s="28">
        <f t="shared" si="2"/>
        <v>29.80652516</v>
      </c>
      <c r="H433" s="28">
        <f t="shared" si="3"/>
        <v>0.3836597395</v>
      </c>
    </row>
    <row r="434" ht="12.75" customHeight="1">
      <c r="A434" s="49">
        <f t="shared" si="4"/>
        <v>429</v>
      </c>
      <c r="B434" s="50" t="s">
        <v>470</v>
      </c>
      <c r="C434" s="29"/>
      <c r="D434" s="53"/>
      <c r="E434" s="28">
        <f t="shared" si="5"/>
        <v>29.27480753</v>
      </c>
      <c r="F434" s="52">
        <f t="shared" si="6"/>
        <v>0.3768156459</v>
      </c>
      <c r="G434" s="28">
        <f t="shared" si="2"/>
        <v>29.27480753</v>
      </c>
      <c r="H434" s="28">
        <f t="shared" si="3"/>
        <v>0.3768156459</v>
      </c>
    </row>
    <row r="435" ht="12.75" customHeight="1">
      <c r="A435" s="49">
        <f t="shared" si="4"/>
        <v>430</v>
      </c>
      <c r="B435" s="50" t="s">
        <v>471</v>
      </c>
      <c r="C435" s="29"/>
      <c r="D435" s="53"/>
      <c r="E435" s="28">
        <f t="shared" si="5"/>
        <v>28.75257518</v>
      </c>
      <c r="F435" s="52">
        <f t="shared" si="6"/>
        <v>0.3700936437</v>
      </c>
      <c r="G435" s="28">
        <f t="shared" si="2"/>
        <v>28.75257518</v>
      </c>
      <c r="H435" s="28">
        <f t="shared" si="3"/>
        <v>0.3700936437</v>
      </c>
    </row>
    <row r="436" ht="12.75" customHeight="1">
      <c r="A436" s="49">
        <f t="shared" si="4"/>
        <v>431</v>
      </c>
      <c r="B436" s="50" t="s">
        <v>472</v>
      </c>
      <c r="C436" s="29"/>
      <c r="D436" s="53"/>
      <c r="E436" s="28">
        <f t="shared" si="5"/>
        <v>28.23965892</v>
      </c>
      <c r="F436" s="52">
        <f t="shared" si="6"/>
        <v>0.3634915552</v>
      </c>
      <c r="G436" s="28">
        <f t="shared" si="2"/>
        <v>28.23965892</v>
      </c>
      <c r="H436" s="28">
        <f t="shared" si="3"/>
        <v>0.3634915552</v>
      </c>
    </row>
    <row r="437" ht="12.75" customHeight="1">
      <c r="A437" s="49">
        <f t="shared" si="4"/>
        <v>432</v>
      </c>
      <c r="B437" s="50" t="s">
        <v>473</v>
      </c>
      <c r="C437" s="29"/>
      <c r="D437" s="53"/>
      <c r="E437" s="28">
        <f t="shared" si="5"/>
        <v>27.73589256</v>
      </c>
      <c r="F437" s="52">
        <f t="shared" si="6"/>
        <v>0.3570072411</v>
      </c>
      <c r="G437" s="28">
        <f t="shared" si="2"/>
        <v>27.73589256</v>
      </c>
      <c r="H437" s="28">
        <f t="shared" si="3"/>
        <v>0.3570072411</v>
      </c>
    </row>
    <row r="438" ht="12.75" customHeight="1">
      <c r="A438" s="49">
        <f t="shared" si="4"/>
        <v>433</v>
      </c>
      <c r="B438" s="50" t="s">
        <v>474</v>
      </c>
      <c r="C438" s="29"/>
      <c r="D438" s="53"/>
      <c r="E438" s="28">
        <f t="shared" si="5"/>
        <v>27.24111287</v>
      </c>
      <c r="F438" s="52">
        <f t="shared" si="6"/>
        <v>0.3506386005</v>
      </c>
      <c r="G438" s="28">
        <f t="shared" si="2"/>
        <v>27.24111287</v>
      </c>
      <c r="H438" s="28">
        <f t="shared" si="3"/>
        <v>0.3506386005</v>
      </c>
    </row>
    <row r="439" ht="12.75" customHeight="1">
      <c r="A439" s="49">
        <f t="shared" si="4"/>
        <v>434</v>
      </c>
      <c r="B439" s="50" t="s">
        <v>475</v>
      </c>
      <c r="C439" s="29"/>
      <c r="D439" s="53"/>
      <c r="E439" s="28">
        <f t="shared" si="5"/>
        <v>26.75515954</v>
      </c>
      <c r="F439" s="52">
        <f t="shared" si="6"/>
        <v>0.3443835698</v>
      </c>
      <c r="G439" s="28">
        <f t="shared" si="2"/>
        <v>26.75515954</v>
      </c>
      <c r="H439" s="28">
        <f t="shared" si="3"/>
        <v>0.3443835698</v>
      </c>
    </row>
    <row r="440" ht="12.75" customHeight="1">
      <c r="A440" s="49">
        <f t="shared" si="4"/>
        <v>435</v>
      </c>
      <c r="B440" s="50" t="s">
        <v>476</v>
      </c>
      <c r="C440" s="29"/>
      <c r="D440" s="53"/>
      <c r="E440" s="28">
        <f t="shared" si="5"/>
        <v>26.27787512</v>
      </c>
      <c r="F440" s="52">
        <f t="shared" si="6"/>
        <v>0.3382401225</v>
      </c>
      <c r="G440" s="28">
        <f t="shared" si="2"/>
        <v>26.27787512</v>
      </c>
      <c r="H440" s="28">
        <f t="shared" si="3"/>
        <v>0.3382401225</v>
      </c>
    </row>
    <row r="441" ht="12.75" customHeight="1">
      <c r="A441" s="49">
        <f t="shared" si="4"/>
        <v>436</v>
      </c>
      <c r="B441" s="50" t="s">
        <v>477</v>
      </c>
      <c r="C441" s="29"/>
      <c r="D441" s="53"/>
      <c r="E441" s="28">
        <f t="shared" si="5"/>
        <v>25.80910495</v>
      </c>
      <c r="F441" s="52">
        <f t="shared" si="6"/>
        <v>0.3322062679</v>
      </c>
      <c r="G441" s="28">
        <f t="shared" si="2"/>
        <v>25.80910495</v>
      </c>
      <c r="H441" s="28">
        <f t="shared" si="3"/>
        <v>0.3322062679</v>
      </c>
    </row>
    <row r="442" ht="12.75" customHeight="1">
      <c r="A442" s="49">
        <f t="shared" si="4"/>
        <v>437</v>
      </c>
      <c r="B442" s="50" t="s">
        <v>478</v>
      </c>
      <c r="C442" s="29"/>
      <c r="D442" s="53"/>
      <c r="E442" s="28">
        <f t="shared" si="5"/>
        <v>25.34869716</v>
      </c>
      <c r="F442" s="52">
        <f t="shared" si="6"/>
        <v>0.326280051</v>
      </c>
      <c r="G442" s="28">
        <f t="shared" si="2"/>
        <v>25.34869716</v>
      </c>
      <c r="H442" s="28">
        <f t="shared" si="3"/>
        <v>0.326280051</v>
      </c>
    </row>
    <row r="443" ht="12.75" customHeight="1">
      <c r="A443" s="49">
        <f t="shared" si="4"/>
        <v>438</v>
      </c>
      <c r="B443" s="50" t="s">
        <v>479</v>
      </c>
      <c r="C443" s="29"/>
      <c r="D443" s="53"/>
      <c r="E443" s="28">
        <f t="shared" si="5"/>
        <v>24.89650258</v>
      </c>
      <c r="F443" s="52">
        <f t="shared" si="6"/>
        <v>0.3204595517</v>
      </c>
      <c r="G443" s="28">
        <f t="shared" si="2"/>
        <v>24.89650258</v>
      </c>
      <c r="H443" s="28">
        <f t="shared" si="3"/>
        <v>0.3204595517</v>
      </c>
    </row>
    <row r="444" ht="12.75" customHeight="1">
      <c r="A444" s="49">
        <f t="shared" si="4"/>
        <v>439</v>
      </c>
      <c r="B444" s="50" t="s">
        <v>480</v>
      </c>
      <c r="C444" s="29"/>
      <c r="D444" s="53"/>
      <c r="E444" s="28">
        <f t="shared" si="5"/>
        <v>24.45237467</v>
      </c>
      <c r="F444" s="52">
        <f t="shared" si="6"/>
        <v>0.3147428842</v>
      </c>
      <c r="G444" s="28">
        <f t="shared" si="2"/>
        <v>24.45237467</v>
      </c>
      <c r="H444" s="28">
        <f t="shared" si="3"/>
        <v>0.3147428842</v>
      </c>
    </row>
    <row r="445" ht="12.75" customHeight="1">
      <c r="A445" s="49">
        <f t="shared" si="4"/>
        <v>440</v>
      </c>
      <c r="B445" s="50" t="s">
        <v>481</v>
      </c>
      <c r="C445" s="29"/>
      <c r="D445" s="53"/>
      <c r="E445" s="28">
        <f t="shared" si="5"/>
        <v>24.01616955</v>
      </c>
      <c r="F445" s="52">
        <f t="shared" si="6"/>
        <v>0.309128196</v>
      </c>
      <c r="G445" s="28">
        <f t="shared" si="2"/>
        <v>24.01616955</v>
      </c>
      <c r="H445" s="28">
        <f t="shared" si="3"/>
        <v>0.309128196</v>
      </c>
    </row>
    <row r="446" ht="12.75" customHeight="1">
      <c r="A446" s="49">
        <f t="shared" si="4"/>
        <v>441</v>
      </c>
      <c r="B446" s="50" t="s">
        <v>482</v>
      </c>
      <c r="C446" s="29"/>
      <c r="D446" s="53"/>
      <c r="E446" s="28">
        <f t="shared" si="5"/>
        <v>23.58774588</v>
      </c>
      <c r="F446" s="52">
        <f t="shared" si="6"/>
        <v>0.3036136682</v>
      </c>
      <c r="G446" s="28">
        <f t="shared" si="2"/>
        <v>23.58774588</v>
      </c>
      <c r="H446" s="28">
        <f t="shared" si="3"/>
        <v>0.3036136682</v>
      </c>
    </row>
    <row r="447" ht="12.75" customHeight="1">
      <c r="A447" s="49">
        <f t="shared" si="4"/>
        <v>442</v>
      </c>
      <c r="B447" s="50" t="s">
        <v>483</v>
      </c>
      <c r="C447" s="29"/>
      <c r="D447" s="53"/>
      <c r="E447" s="28">
        <f t="shared" si="5"/>
        <v>23.16696484</v>
      </c>
      <c r="F447" s="52">
        <f t="shared" si="6"/>
        <v>0.2981975138</v>
      </c>
      <c r="G447" s="28">
        <f t="shared" si="2"/>
        <v>23.16696484</v>
      </c>
      <c r="H447" s="28">
        <f t="shared" si="3"/>
        <v>0.2981975138</v>
      </c>
    </row>
    <row r="448" ht="12.75" customHeight="1">
      <c r="A448" s="49">
        <f t="shared" si="4"/>
        <v>443</v>
      </c>
      <c r="B448" s="50" t="s">
        <v>484</v>
      </c>
      <c r="C448" s="29"/>
      <c r="D448" s="53"/>
      <c r="E448" s="28">
        <f t="shared" si="5"/>
        <v>22.75369011</v>
      </c>
      <c r="F448" s="52">
        <f t="shared" si="6"/>
        <v>0.292877978</v>
      </c>
      <c r="G448" s="28">
        <f t="shared" si="2"/>
        <v>22.75369011</v>
      </c>
      <c r="H448" s="28">
        <f t="shared" si="3"/>
        <v>0.292877978</v>
      </c>
    </row>
    <row r="449" ht="12.75" customHeight="1">
      <c r="A449" s="54">
        <f t="shared" si="4"/>
        <v>444</v>
      </c>
      <c r="B449" s="55" t="s">
        <v>485</v>
      </c>
      <c r="C449" s="33"/>
      <c r="D449" s="56"/>
      <c r="E449" s="32">
        <f t="shared" si="5"/>
        <v>22.34778777</v>
      </c>
      <c r="F449" s="57">
        <f t="shared" si="6"/>
        <v>0.2876533372</v>
      </c>
      <c r="G449" s="28">
        <f t="shared" si="2"/>
        <v>22.34778777</v>
      </c>
      <c r="H449" s="28">
        <f t="shared" si="3"/>
        <v>0.2876533372</v>
      </c>
    </row>
    <row r="450" ht="12.75" customHeight="1">
      <c r="B450" s="22"/>
      <c r="D450" s="11"/>
      <c r="E450" s="11"/>
      <c r="F450" s="11"/>
    </row>
    <row r="451" ht="12.75" customHeight="1">
      <c r="B451" s="22"/>
      <c r="D451" s="11"/>
      <c r="E451" s="11"/>
      <c r="F451" s="11"/>
    </row>
    <row r="452" ht="12.75" customHeight="1">
      <c r="B452" s="22"/>
      <c r="D452" s="11"/>
      <c r="E452" s="11"/>
      <c r="F452" s="11"/>
    </row>
    <row r="453" ht="12.75" customHeight="1">
      <c r="B453" s="22"/>
      <c r="D453" s="11"/>
      <c r="E453" s="11"/>
      <c r="F453" s="11"/>
    </row>
    <row r="454" ht="12.75" customHeight="1">
      <c r="B454" s="22"/>
      <c r="D454" s="11"/>
      <c r="E454" s="11"/>
      <c r="F454" s="11"/>
    </row>
    <row r="455" ht="12.75" customHeight="1">
      <c r="B455" s="22"/>
      <c r="D455" s="11"/>
      <c r="E455" s="11"/>
      <c r="F455" s="11"/>
    </row>
    <row r="456" ht="12.75" customHeight="1">
      <c r="B456" s="22"/>
      <c r="D456" s="11"/>
      <c r="E456" s="11"/>
      <c r="F456" s="11"/>
    </row>
    <row r="457" ht="12.75" customHeight="1">
      <c r="B457" s="22"/>
      <c r="D457" s="11"/>
      <c r="E457" s="11"/>
      <c r="F457" s="11"/>
    </row>
    <row r="458" ht="12.75" customHeight="1">
      <c r="B458" s="22"/>
      <c r="D458" s="11"/>
      <c r="E458" s="11"/>
      <c r="F458" s="11"/>
    </row>
    <row r="459" ht="12.75" customHeight="1">
      <c r="B459" s="22"/>
      <c r="D459" s="11"/>
      <c r="E459" s="11"/>
      <c r="F459" s="11"/>
    </row>
    <row r="460" ht="12.75" customHeight="1">
      <c r="B460" s="22"/>
      <c r="D460" s="11"/>
      <c r="E460" s="11"/>
      <c r="F460" s="11"/>
    </row>
    <row r="461" ht="12.75" customHeight="1">
      <c r="B461" s="22"/>
      <c r="D461" s="11"/>
      <c r="E461" s="11"/>
      <c r="F461" s="11"/>
    </row>
    <row r="462" ht="12.75" customHeight="1">
      <c r="B462" s="22"/>
      <c r="D462" s="11"/>
      <c r="E462" s="11"/>
      <c r="F462" s="11"/>
    </row>
    <row r="463" ht="12.75" customHeight="1">
      <c r="B463" s="22"/>
      <c r="D463" s="11"/>
      <c r="E463" s="11"/>
      <c r="F463" s="11"/>
    </row>
    <row r="464" ht="12.75" customHeight="1">
      <c r="B464" s="22"/>
      <c r="D464" s="11"/>
      <c r="E464" s="11"/>
      <c r="F464" s="11"/>
    </row>
    <row r="465" ht="12.75" customHeight="1">
      <c r="B465" s="22"/>
      <c r="D465" s="11"/>
      <c r="E465" s="11"/>
      <c r="F465" s="11"/>
    </row>
    <row r="466" ht="12.75" customHeight="1">
      <c r="B466" s="22"/>
      <c r="D466" s="11"/>
      <c r="E466" s="11"/>
      <c r="F466" s="11"/>
    </row>
    <row r="467" ht="12.75" customHeight="1">
      <c r="B467" s="22"/>
      <c r="D467" s="11"/>
      <c r="E467" s="11"/>
      <c r="F467" s="11"/>
    </row>
    <row r="468" ht="12.75" customHeight="1">
      <c r="B468" s="22"/>
      <c r="D468" s="11"/>
      <c r="E468" s="11"/>
      <c r="F468" s="11"/>
    </row>
    <row r="469" ht="12.75" customHeight="1">
      <c r="B469" s="22"/>
      <c r="D469" s="11"/>
      <c r="E469" s="11"/>
      <c r="F469" s="11"/>
    </row>
    <row r="470" ht="12.75" customHeight="1">
      <c r="B470" s="22"/>
      <c r="D470" s="11"/>
      <c r="E470" s="11"/>
      <c r="F470" s="11"/>
    </row>
    <row r="471" ht="12.75" customHeight="1">
      <c r="B471" s="22"/>
      <c r="D471" s="11"/>
      <c r="E471" s="11"/>
      <c r="F471" s="11"/>
    </row>
    <row r="472" ht="12.75" customHeight="1">
      <c r="B472" s="22"/>
      <c r="D472" s="11"/>
      <c r="E472" s="11"/>
      <c r="F472" s="11"/>
    </row>
    <row r="473" ht="12.75" customHeight="1">
      <c r="B473" s="22"/>
      <c r="D473" s="11"/>
      <c r="E473" s="11"/>
      <c r="F473" s="11"/>
    </row>
    <row r="474" ht="12.75" customHeight="1">
      <c r="B474" s="22"/>
      <c r="D474" s="11"/>
      <c r="E474" s="11"/>
      <c r="F474" s="11"/>
    </row>
    <row r="475" ht="12.75" customHeight="1">
      <c r="B475" s="22"/>
      <c r="D475" s="11"/>
      <c r="E475" s="11"/>
      <c r="F475" s="11"/>
    </row>
    <row r="476" ht="12.75" customHeight="1">
      <c r="B476" s="22"/>
      <c r="D476" s="11"/>
      <c r="E476" s="11"/>
      <c r="F476" s="11"/>
    </row>
    <row r="477" ht="12.75" customHeight="1">
      <c r="B477" s="22"/>
      <c r="D477" s="11"/>
      <c r="E477" s="11"/>
      <c r="F477" s="11"/>
    </row>
    <row r="478" ht="12.75" customHeight="1">
      <c r="B478" s="22"/>
      <c r="D478" s="11"/>
      <c r="E478" s="11"/>
      <c r="F478" s="11"/>
    </row>
    <row r="479" ht="12.75" customHeight="1">
      <c r="B479" s="22"/>
      <c r="D479" s="11"/>
      <c r="E479" s="11"/>
      <c r="F479" s="11"/>
    </row>
    <row r="480" ht="12.75" customHeight="1">
      <c r="B480" s="22"/>
      <c r="D480" s="11"/>
      <c r="E480" s="11"/>
      <c r="F480" s="11"/>
    </row>
    <row r="481" ht="12.75" customHeight="1">
      <c r="B481" s="22"/>
      <c r="D481" s="11"/>
      <c r="E481" s="11"/>
      <c r="F481" s="11"/>
    </row>
    <row r="482" ht="12.75" customHeight="1">
      <c r="B482" s="22"/>
      <c r="D482" s="11"/>
      <c r="E482" s="11"/>
      <c r="F482" s="11"/>
    </row>
    <row r="483" ht="12.75" customHeight="1">
      <c r="B483" s="22"/>
      <c r="D483" s="11"/>
      <c r="E483" s="11"/>
      <c r="F483" s="11"/>
    </row>
    <row r="484" ht="12.75" customHeight="1">
      <c r="B484" s="22"/>
      <c r="D484" s="11"/>
      <c r="E484" s="11"/>
      <c r="F484" s="11"/>
    </row>
    <row r="485" ht="12.75" customHeight="1">
      <c r="B485" s="22"/>
      <c r="D485" s="11"/>
      <c r="E485" s="11"/>
      <c r="F485" s="11"/>
    </row>
    <row r="486" ht="12.75" customHeight="1">
      <c r="B486" s="22"/>
      <c r="D486" s="11"/>
      <c r="E486" s="11"/>
      <c r="F486" s="11"/>
    </row>
    <row r="487" ht="12.75" customHeight="1">
      <c r="B487" s="22"/>
      <c r="D487" s="11"/>
      <c r="E487" s="11"/>
      <c r="F487" s="11"/>
    </row>
    <row r="488" ht="12.75" customHeight="1">
      <c r="B488" s="22"/>
      <c r="D488" s="11"/>
      <c r="E488" s="11"/>
      <c r="F488" s="11"/>
    </row>
    <row r="489" ht="12.75" customHeight="1">
      <c r="B489" s="22"/>
      <c r="D489" s="11"/>
      <c r="E489" s="11"/>
      <c r="F489" s="11"/>
    </row>
    <row r="490" ht="12.75" customHeight="1">
      <c r="B490" s="22"/>
      <c r="D490" s="11"/>
      <c r="E490" s="11"/>
      <c r="F490" s="11"/>
    </row>
    <row r="491" ht="12.75" customHeight="1">
      <c r="B491" s="22"/>
      <c r="D491" s="11"/>
      <c r="E491" s="11"/>
      <c r="F491" s="11"/>
    </row>
    <row r="492" ht="12.75" customHeight="1">
      <c r="B492" s="22"/>
      <c r="D492" s="11"/>
      <c r="E492" s="11"/>
      <c r="F492" s="11"/>
    </row>
    <row r="493" ht="12.75" customHeight="1">
      <c r="B493" s="22"/>
      <c r="D493" s="11"/>
      <c r="E493" s="11"/>
      <c r="F493" s="11"/>
    </row>
    <row r="494" ht="12.75" customHeight="1">
      <c r="B494" s="22"/>
      <c r="D494" s="11"/>
      <c r="E494" s="11"/>
      <c r="F494" s="11"/>
    </row>
    <row r="495" ht="12.75" customHeight="1">
      <c r="B495" s="22"/>
      <c r="D495" s="11"/>
      <c r="E495" s="11"/>
      <c r="F495" s="11"/>
    </row>
    <row r="496" ht="12.75" customHeight="1">
      <c r="B496" s="22"/>
      <c r="D496" s="11"/>
      <c r="E496" s="11"/>
      <c r="F496" s="11"/>
    </row>
    <row r="497" ht="12.75" customHeight="1">
      <c r="B497" s="22"/>
      <c r="D497" s="11"/>
      <c r="E497" s="11"/>
      <c r="F497" s="11"/>
    </row>
    <row r="498" ht="12.75" customHeight="1">
      <c r="B498" s="22"/>
      <c r="D498" s="11"/>
      <c r="E498" s="11"/>
      <c r="F498" s="11"/>
    </row>
    <row r="499" ht="12.75" customHeight="1">
      <c r="B499" s="22"/>
      <c r="D499" s="11"/>
      <c r="E499" s="11"/>
      <c r="F499" s="11"/>
    </row>
    <row r="500" ht="12.75" customHeight="1">
      <c r="B500" s="22"/>
      <c r="D500" s="11"/>
      <c r="E500" s="11"/>
      <c r="F500" s="11"/>
    </row>
    <row r="501" ht="12.75" customHeight="1">
      <c r="B501" s="22"/>
      <c r="D501" s="11"/>
      <c r="E501" s="11"/>
      <c r="F501" s="11"/>
    </row>
    <row r="502" ht="12.75" customHeight="1">
      <c r="B502" s="22"/>
      <c r="D502" s="11"/>
      <c r="E502" s="11"/>
      <c r="F502" s="11"/>
    </row>
    <row r="503" ht="12.75" customHeight="1">
      <c r="B503" s="22"/>
      <c r="D503" s="11"/>
      <c r="E503" s="11"/>
      <c r="F503" s="11"/>
    </row>
    <row r="504" ht="12.75" customHeight="1">
      <c r="B504" s="22"/>
      <c r="D504" s="11"/>
      <c r="E504" s="11"/>
      <c r="F504" s="11"/>
    </row>
    <row r="505" ht="12.75" customHeight="1">
      <c r="B505" s="22"/>
      <c r="D505" s="11"/>
      <c r="E505" s="11"/>
      <c r="F505" s="11"/>
    </row>
    <row r="506" ht="12.75" customHeight="1">
      <c r="B506" s="22"/>
      <c r="D506" s="11"/>
      <c r="E506" s="11"/>
      <c r="F506" s="11"/>
    </row>
    <row r="507" ht="12.75" customHeight="1">
      <c r="B507" s="22"/>
      <c r="D507" s="11"/>
      <c r="E507" s="11"/>
      <c r="F507" s="11"/>
    </row>
    <row r="508" ht="12.75" customHeight="1">
      <c r="B508" s="22"/>
      <c r="D508" s="11"/>
      <c r="E508" s="11"/>
      <c r="F508" s="11"/>
    </row>
    <row r="509" ht="12.75" customHeight="1">
      <c r="B509" s="22"/>
      <c r="D509" s="11"/>
      <c r="E509" s="11"/>
      <c r="F509" s="11"/>
    </row>
    <row r="510" ht="12.75" customHeight="1">
      <c r="B510" s="22"/>
      <c r="D510" s="11"/>
      <c r="E510" s="11"/>
      <c r="F510" s="11"/>
    </row>
    <row r="511" ht="12.75" customHeight="1">
      <c r="B511" s="22"/>
      <c r="D511" s="11"/>
      <c r="E511" s="11"/>
      <c r="F511" s="11"/>
    </row>
    <row r="512" ht="12.75" customHeight="1">
      <c r="B512" s="22"/>
      <c r="D512" s="11"/>
      <c r="E512" s="11"/>
      <c r="F512" s="11"/>
    </row>
    <row r="513" ht="12.75" customHeight="1">
      <c r="B513" s="22"/>
      <c r="D513" s="11"/>
      <c r="E513" s="11"/>
      <c r="F513" s="11"/>
    </row>
    <row r="514" ht="12.75" customHeight="1">
      <c r="B514" s="22"/>
      <c r="D514" s="11"/>
      <c r="E514" s="11"/>
      <c r="F514" s="11"/>
    </row>
    <row r="515" ht="12.75" customHeight="1">
      <c r="B515" s="22"/>
      <c r="D515" s="11"/>
      <c r="E515" s="11"/>
      <c r="F515" s="11"/>
    </row>
    <row r="516" ht="12.75" customHeight="1">
      <c r="B516" s="22"/>
      <c r="D516" s="11"/>
      <c r="E516" s="11"/>
      <c r="F516" s="11"/>
    </row>
    <row r="517" ht="12.75" customHeight="1">
      <c r="B517" s="22"/>
      <c r="D517" s="11"/>
      <c r="E517" s="11"/>
      <c r="F517" s="11"/>
    </row>
    <row r="518" ht="12.75" customHeight="1">
      <c r="B518" s="22"/>
      <c r="D518" s="11"/>
      <c r="E518" s="11"/>
      <c r="F518" s="11"/>
    </row>
    <row r="519" ht="12.75" customHeight="1">
      <c r="B519" s="22"/>
      <c r="D519" s="11"/>
      <c r="E519" s="11"/>
      <c r="F519" s="11"/>
    </row>
    <row r="520" ht="12.75" customHeight="1">
      <c r="B520" s="22"/>
      <c r="D520" s="11"/>
      <c r="E520" s="11"/>
      <c r="F520" s="11"/>
    </row>
    <row r="521" ht="12.75" customHeight="1">
      <c r="B521" s="22"/>
      <c r="D521" s="11"/>
      <c r="E521" s="11"/>
      <c r="F521" s="11"/>
    </row>
    <row r="522" ht="12.75" customHeight="1">
      <c r="B522" s="22"/>
      <c r="D522" s="11"/>
      <c r="E522" s="11"/>
      <c r="F522" s="11"/>
    </row>
    <row r="523" ht="12.75" customHeight="1">
      <c r="B523" s="22"/>
      <c r="D523" s="11"/>
      <c r="E523" s="11"/>
      <c r="F523" s="11"/>
    </row>
    <row r="524" ht="12.75" customHeight="1">
      <c r="B524" s="22"/>
      <c r="D524" s="11"/>
      <c r="E524" s="11"/>
      <c r="F524" s="11"/>
    </row>
    <row r="525" ht="12.75" customHeight="1">
      <c r="B525" s="22"/>
      <c r="D525" s="11"/>
      <c r="E525" s="11"/>
      <c r="F525" s="11"/>
    </row>
    <row r="526" ht="12.75" customHeight="1">
      <c r="B526" s="22"/>
      <c r="D526" s="11"/>
      <c r="E526" s="11"/>
      <c r="F526" s="11"/>
    </row>
    <row r="527" ht="12.75" customHeight="1">
      <c r="B527" s="22"/>
      <c r="D527" s="11"/>
      <c r="E527" s="11"/>
      <c r="F527" s="11"/>
    </row>
    <row r="528" ht="12.75" customHeight="1">
      <c r="B528" s="22"/>
      <c r="D528" s="11"/>
      <c r="E528" s="11"/>
      <c r="F528" s="11"/>
    </row>
    <row r="529" ht="12.75" customHeight="1">
      <c r="B529" s="22"/>
      <c r="D529" s="11"/>
      <c r="E529" s="11"/>
      <c r="F529" s="11"/>
    </row>
    <row r="530" ht="12.75" customHeight="1">
      <c r="B530" s="22"/>
      <c r="D530" s="11"/>
      <c r="E530" s="11"/>
      <c r="F530" s="11"/>
    </row>
    <row r="531" ht="12.75" customHeight="1">
      <c r="B531" s="22"/>
      <c r="D531" s="11"/>
      <c r="E531" s="11"/>
      <c r="F531" s="11"/>
    </row>
    <row r="532" ht="12.75" customHeight="1">
      <c r="B532" s="22"/>
      <c r="D532" s="11"/>
      <c r="E532" s="11"/>
      <c r="F532" s="11"/>
    </row>
    <row r="533" ht="12.75" customHeight="1">
      <c r="B533" s="22"/>
      <c r="D533" s="11"/>
      <c r="E533" s="11"/>
      <c r="F533" s="11"/>
    </row>
    <row r="534" ht="12.75" customHeight="1">
      <c r="B534" s="22"/>
      <c r="D534" s="11"/>
      <c r="E534" s="11"/>
      <c r="F534" s="11"/>
    </row>
    <row r="535" ht="12.75" customHeight="1">
      <c r="B535" s="22"/>
      <c r="D535" s="11"/>
      <c r="E535" s="11"/>
      <c r="F535" s="11"/>
    </row>
    <row r="536" ht="12.75" customHeight="1">
      <c r="B536" s="22"/>
      <c r="D536" s="11"/>
      <c r="E536" s="11"/>
      <c r="F536" s="11"/>
    </row>
    <row r="537" ht="12.75" customHeight="1">
      <c r="B537" s="22"/>
      <c r="D537" s="11"/>
      <c r="E537" s="11"/>
      <c r="F537" s="11"/>
    </row>
    <row r="538" ht="12.75" customHeight="1">
      <c r="B538" s="22"/>
      <c r="D538" s="11"/>
      <c r="E538" s="11"/>
      <c r="F538" s="11"/>
    </row>
    <row r="539" ht="12.75" customHeight="1">
      <c r="B539" s="22"/>
      <c r="D539" s="11"/>
      <c r="E539" s="11"/>
      <c r="F539" s="11"/>
    </row>
    <row r="540" ht="12.75" customHeight="1">
      <c r="B540" s="22"/>
      <c r="D540" s="11"/>
      <c r="E540" s="11"/>
      <c r="F540" s="11"/>
    </row>
    <row r="541" ht="12.75" customHeight="1">
      <c r="B541" s="22"/>
      <c r="D541" s="11"/>
      <c r="E541" s="11"/>
      <c r="F541" s="11"/>
    </row>
    <row r="542" ht="12.75" customHeight="1">
      <c r="B542" s="22"/>
      <c r="D542" s="11"/>
      <c r="E542" s="11"/>
      <c r="F542" s="11"/>
    </row>
    <row r="543" ht="12.75" customHeight="1">
      <c r="B543" s="22"/>
      <c r="D543" s="11"/>
      <c r="E543" s="11"/>
      <c r="F543" s="11"/>
    </row>
    <row r="544" ht="12.75" customHeight="1">
      <c r="B544" s="22"/>
      <c r="D544" s="11"/>
      <c r="E544" s="11"/>
      <c r="F544" s="11"/>
    </row>
    <row r="545" ht="12.75" customHeight="1">
      <c r="B545" s="22"/>
      <c r="D545" s="11"/>
      <c r="E545" s="11"/>
      <c r="F545" s="11"/>
    </row>
    <row r="546" ht="12.75" customHeight="1">
      <c r="B546" s="22"/>
      <c r="D546" s="11"/>
      <c r="E546" s="11"/>
      <c r="F546" s="11"/>
    </row>
    <row r="547" ht="12.75" customHeight="1">
      <c r="B547" s="22"/>
      <c r="D547" s="11"/>
      <c r="E547" s="11"/>
      <c r="F547" s="11"/>
    </row>
    <row r="548" ht="12.75" customHeight="1">
      <c r="B548" s="22"/>
      <c r="D548" s="11"/>
      <c r="E548" s="11"/>
      <c r="F548" s="11"/>
    </row>
    <row r="549" ht="12.75" customHeight="1">
      <c r="B549" s="22"/>
      <c r="D549" s="11"/>
      <c r="E549" s="11"/>
      <c r="F549" s="11"/>
    </row>
    <row r="550" ht="12.75" customHeight="1">
      <c r="B550" s="22"/>
      <c r="D550" s="11"/>
      <c r="E550" s="11"/>
      <c r="F550" s="11"/>
    </row>
    <row r="551" ht="12.75" customHeight="1">
      <c r="B551" s="22"/>
      <c r="D551" s="11"/>
      <c r="E551" s="11"/>
      <c r="F551" s="11"/>
    </row>
    <row r="552" ht="12.75" customHeight="1">
      <c r="B552" s="22"/>
      <c r="D552" s="11"/>
      <c r="E552" s="11"/>
      <c r="F552" s="11"/>
    </row>
    <row r="553" ht="12.75" customHeight="1">
      <c r="B553" s="22"/>
      <c r="D553" s="11"/>
      <c r="E553" s="11"/>
      <c r="F553" s="11"/>
    </row>
    <row r="554" ht="12.75" customHeight="1">
      <c r="B554" s="22"/>
      <c r="D554" s="11"/>
      <c r="E554" s="11"/>
      <c r="F554" s="11"/>
    </row>
    <row r="555" ht="12.75" customHeight="1">
      <c r="B555" s="22"/>
      <c r="D555" s="11"/>
      <c r="E555" s="11"/>
      <c r="F555" s="11"/>
    </row>
    <row r="556" ht="12.75" customHeight="1">
      <c r="B556" s="22"/>
      <c r="D556" s="11"/>
      <c r="E556" s="11"/>
      <c r="F556" s="11"/>
    </row>
    <row r="557" ht="12.75" customHeight="1">
      <c r="B557" s="22"/>
      <c r="D557" s="11"/>
      <c r="E557" s="11"/>
      <c r="F557" s="11"/>
    </row>
    <row r="558" ht="12.75" customHeight="1">
      <c r="B558" s="22"/>
      <c r="D558" s="11"/>
      <c r="E558" s="11"/>
      <c r="F558" s="11"/>
    </row>
    <row r="559" ht="12.75" customHeight="1">
      <c r="B559" s="22"/>
      <c r="D559" s="11"/>
      <c r="E559" s="11"/>
      <c r="F559" s="11"/>
    </row>
    <row r="560" ht="12.75" customHeight="1">
      <c r="B560" s="22"/>
      <c r="D560" s="11"/>
      <c r="E560" s="11"/>
      <c r="F560" s="11"/>
    </row>
    <row r="561" ht="12.75" customHeight="1">
      <c r="B561" s="22"/>
      <c r="D561" s="11"/>
      <c r="E561" s="11"/>
      <c r="F561" s="11"/>
    </row>
    <row r="562" ht="12.75" customHeight="1">
      <c r="B562" s="22"/>
      <c r="D562" s="11"/>
      <c r="E562" s="11"/>
      <c r="F562" s="11"/>
    </row>
    <row r="563" ht="12.75" customHeight="1">
      <c r="B563" s="22"/>
      <c r="D563" s="11"/>
      <c r="E563" s="11"/>
      <c r="F563" s="11"/>
    </row>
    <row r="564" ht="12.75" customHeight="1">
      <c r="B564" s="22"/>
      <c r="D564" s="11"/>
      <c r="E564" s="11"/>
      <c r="F564" s="11"/>
    </row>
    <row r="565" ht="12.75" customHeight="1">
      <c r="B565" s="22"/>
      <c r="D565" s="11"/>
      <c r="E565" s="11"/>
      <c r="F565" s="11"/>
    </row>
    <row r="566" ht="12.75" customHeight="1">
      <c r="B566" s="22"/>
      <c r="D566" s="11"/>
      <c r="E566" s="11"/>
      <c r="F566" s="11"/>
    </row>
    <row r="567" ht="12.75" customHeight="1">
      <c r="B567" s="22"/>
      <c r="D567" s="11"/>
      <c r="E567" s="11"/>
      <c r="F567" s="11"/>
    </row>
    <row r="568" ht="12.75" customHeight="1">
      <c r="B568" s="22"/>
      <c r="D568" s="11"/>
      <c r="E568" s="11"/>
      <c r="F568" s="11"/>
    </row>
    <row r="569" ht="12.75" customHeight="1">
      <c r="B569" s="22"/>
      <c r="D569" s="11"/>
      <c r="E569" s="11"/>
      <c r="F569" s="11"/>
    </row>
    <row r="570" ht="12.75" customHeight="1">
      <c r="B570" s="22"/>
      <c r="D570" s="11"/>
      <c r="E570" s="11"/>
      <c r="F570" s="11"/>
    </row>
    <row r="571" ht="12.75" customHeight="1">
      <c r="B571" s="22"/>
      <c r="D571" s="11"/>
      <c r="E571" s="11"/>
      <c r="F571" s="11"/>
    </row>
    <row r="572" ht="12.75" customHeight="1">
      <c r="B572" s="22"/>
      <c r="D572" s="11"/>
      <c r="E572" s="11"/>
      <c r="F572" s="11"/>
    </row>
    <row r="573" ht="12.75" customHeight="1">
      <c r="B573" s="22"/>
      <c r="D573" s="11"/>
      <c r="E573" s="11"/>
      <c r="F573" s="11"/>
    </row>
    <row r="574" ht="12.75" customHeight="1">
      <c r="B574" s="22"/>
      <c r="D574" s="11"/>
      <c r="E574" s="11"/>
      <c r="F574" s="11"/>
    </row>
    <row r="575" ht="12.75" customHeight="1">
      <c r="B575" s="22"/>
      <c r="D575" s="11"/>
      <c r="E575" s="11"/>
      <c r="F575" s="11"/>
    </row>
    <row r="576" ht="12.75" customHeight="1">
      <c r="B576" s="22"/>
      <c r="D576" s="11"/>
      <c r="E576" s="11"/>
      <c r="F576" s="11"/>
    </row>
    <row r="577" ht="12.75" customHeight="1">
      <c r="B577" s="22"/>
      <c r="D577" s="11"/>
      <c r="E577" s="11"/>
      <c r="F577" s="11"/>
    </row>
    <row r="578" ht="12.75" customHeight="1">
      <c r="B578" s="22"/>
      <c r="D578" s="11"/>
      <c r="E578" s="11"/>
      <c r="F578" s="11"/>
    </row>
    <row r="579" ht="12.75" customHeight="1">
      <c r="B579" s="22"/>
      <c r="D579" s="11"/>
      <c r="E579" s="11"/>
      <c r="F579" s="11"/>
    </row>
    <row r="580" ht="12.75" customHeight="1">
      <c r="B580" s="22"/>
      <c r="D580" s="11"/>
      <c r="E580" s="11"/>
      <c r="F580" s="11"/>
    </row>
    <row r="581" ht="12.75" customHeight="1">
      <c r="B581" s="22"/>
      <c r="D581" s="11"/>
      <c r="E581" s="11"/>
      <c r="F581" s="11"/>
    </row>
    <row r="582" ht="12.75" customHeight="1">
      <c r="B582" s="22"/>
      <c r="D582" s="11"/>
      <c r="E582" s="11"/>
      <c r="F582" s="11"/>
    </row>
    <row r="583" ht="12.75" customHeight="1">
      <c r="B583" s="22"/>
      <c r="D583" s="11"/>
      <c r="E583" s="11"/>
      <c r="F583" s="11"/>
    </row>
    <row r="584" ht="12.75" customHeight="1">
      <c r="B584" s="22"/>
      <c r="D584" s="11"/>
      <c r="E584" s="11"/>
      <c r="F584" s="11"/>
    </row>
    <row r="585" ht="12.75" customHeight="1">
      <c r="B585" s="22"/>
      <c r="D585" s="11"/>
      <c r="E585" s="11"/>
      <c r="F585" s="11"/>
    </row>
    <row r="586" ht="12.75" customHeight="1">
      <c r="B586" s="22"/>
      <c r="D586" s="11"/>
      <c r="E586" s="11"/>
      <c r="F586" s="11"/>
    </row>
    <row r="587" ht="12.75" customHeight="1">
      <c r="B587" s="22"/>
      <c r="D587" s="11"/>
      <c r="E587" s="11"/>
      <c r="F587" s="11"/>
    </row>
    <row r="588" ht="12.75" customHeight="1">
      <c r="B588" s="22"/>
      <c r="D588" s="11"/>
      <c r="E588" s="11"/>
      <c r="F588" s="11"/>
    </row>
    <row r="589" ht="12.75" customHeight="1">
      <c r="B589" s="22"/>
      <c r="D589" s="11"/>
      <c r="E589" s="11"/>
      <c r="F589" s="11"/>
    </row>
    <row r="590" ht="12.75" customHeight="1">
      <c r="B590" s="22"/>
      <c r="D590" s="11"/>
      <c r="E590" s="11"/>
      <c r="F590" s="11"/>
    </row>
    <row r="591" ht="12.75" customHeight="1">
      <c r="B591" s="22"/>
      <c r="D591" s="11"/>
      <c r="E591" s="11"/>
      <c r="F591" s="11"/>
    </row>
    <row r="592" ht="12.75" customHeight="1">
      <c r="B592" s="22"/>
      <c r="D592" s="11"/>
      <c r="E592" s="11"/>
      <c r="F592" s="11"/>
    </row>
    <row r="593" ht="12.75" customHeight="1">
      <c r="B593" s="22"/>
      <c r="D593" s="11"/>
      <c r="E593" s="11"/>
      <c r="F593" s="11"/>
    </row>
    <row r="594" ht="12.75" customHeight="1">
      <c r="B594" s="22"/>
      <c r="D594" s="11"/>
      <c r="E594" s="11"/>
      <c r="F594" s="11"/>
    </row>
    <row r="595" ht="12.75" customHeight="1">
      <c r="B595" s="22"/>
      <c r="D595" s="11"/>
      <c r="E595" s="11"/>
      <c r="F595" s="11"/>
    </row>
    <row r="596" ht="12.75" customHeight="1">
      <c r="B596" s="22"/>
      <c r="D596" s="11"/>
      <c r="E596" s="11"/>
      <c r="F596" s="11"/>
    </row>
    <row r="597" ht="12.75" customHeight="1">
      <c r="B597" s="22"/>
      <c r="D597" s="11"/>
      <c r="E597" s="11"/>
      <c r="F597" s="11"/>
    </row>
    <row r="598" ht="12.75" customHeight="1">
      <c r="B598" s="22"/>
      <c r="D598" s="11"/>
      <c r="E598" s="11"/>
      <c r="F598" s="11"/>
    </row>
    <row r="599" ht="12.75" customHeight="1">
      <c r="B599" s="22"/>
      <c r="D599" s="11"/>
      <c r="E599" s="11"/>
      <c r="F599" s="11"/>
    </row>
    <row r="600" ht="12.75" customHeight="1">
      <c r="B600" s="22"/>
      <c r="D600" s="11"/>
      <c r="E600" s="11"/>
      <c r="F600" s="11"/>
    </row>
    <row r="601" ht="12.75" customHeight="1">
      <c r="B601" s="22"/>
      <c r="D601" s="11"/>
      <c r="E601" s="11"/>
      <c r="F601" s="11"/>
    </row>
    <row r="602" ht="12.75" customHeight="1">
      <c r="B602" s="22"/>
      <c r="D602" s="11"/>
      <c r="E602" s="11"/>
      <c r="F602" s="11"/>
    </row>
    <row r="603" ht="12.75" customHeight="1">
      <c r="B603" s="22"/>
      <c r="D603" s="11"/>
      <c r="E603" s="11"/>
      <c r="F603" s="11"/>
    </row>
    <row r="604" ht="12.75" customHeight="1">
      <c r="B604" s="22"/>
      <c r="D604" s="11"/>
      <c r="E604" s="11"/>
      <c r="F604" s="11"/>
    </row>
    <row r="605" ht="12.75" customHeight="1">
      <c r="B605" s="22"/>
      <c r="D605" s="11"/>
      <c r="E605" s="11"/>
      <c r="F605" s="11"/>
    </row>
    <row r="606" ht="12.75" customHeight="1">
      <c r="B606" s="22"/>
      <c r="D606" s="11"/>
      <c r="E606" s="11"/>
      <c r="F606" s="11"/>
    </row>
    <row r="607" ht="12.75" customHeight="1">
      <c r="B607" s="22"/>
      <c r="D607" s="11"/>
      <c r="E607" s="11"/>
      <c r="F607" s="11"/>
    </row>
    <row r="608" ht="12.75" customHeight="1">
      <c r="B608" s="22"/>
      <c r="D608" s="11"/>
      <c r="E608" s="11"/>
      <c r="F608" s="11"/>
    </row>
    <row r="609" ht="12.75" customHeight="1">
      <c r="B609" s="22"/>
      <c r="D609" s="11"/>
      <c r="E609" s="11"/>
      <c r="F609" s="11"/>
    </row>
    <row r="610" ht="12.75" customHeight="1">
      <c r="B610" s="22"/>
      <c r="D610" s="11"/>
      <c r="E610" s="11"/>
      <c r="F610" s="11"/>
    </row>
    <row r="611" ht="12.75" customHeight="1">
      <c r="B611" s="22"/>
      <c r="D611" s="11"/>
      <c r="E611" s="11"/>
      <c r="F611" s="11"/>
    </row>
    <row r="612" ht="12.75" customHeight="1">
      <c r="B612" s="22"/>
      <c r="D612" s="11"/>
      <c r="E612" s="11"/>
      <c r="F612" s="11"/>
    </row>
    <row r="613" ht="12.75" customHeight="1">
      <c r="B613" s="22"/>
      <c r="D613" s="11"/>
      <c r="E613" s="11"/>
      <c r="F613" s="11"/>
    </row>
    <row r="614" ht="12.75" customHeight="1">
      <c r="B614" s="22"/>
      <c r="D614" s="11"/>
      <c r="E614" s="11"/>
      <c r="F614" s="11"/>
    </row>
    <row r="615" ht="12.75" customHeight="1">
      <c r="B615" s="22"/>
      <c r="D615" s="11"/>
      <c r="E615" s="11"/>
      <c r="F615" s="11"/>
    </row>
    <row r="616" ht="12.75" customHeight="1">
      <c r="B616" s="22"/>
      <c r="D616" s="11"/>
      <c r="E616" s="11"/>
      <c r="F616" s="11"/>
    </row>
    <row r="617" ht="12.75" customHeight="1">
      <c r="B617" s="22"/>
      <c r="D617" s="11"/>
      <c r="E617" s="11"/>
      <c r="F617" s="11"/>
    </row>
    <row r="618" ht="12.75" customHeight="1">
      <c r="B618" s="22"/>
      <c r="D618" s="11"/>
      <c r="E618" s="11"/>
      <c r="F618" s="11"/>
    </row>
    <row r="619" ht="12.75" customHeight="1">
      <c r="B619" s="22"/>
      <c r="D619" s="11"/>
      <c r="E619" s="11"/>
      <c r="F619" s="11"/>
    </row>
    <row r="620" ht="12.75" customHeight="1">
      <c r="B620" s="22"/>
      <c r="D620" s="11"/>
      <c r="E620" s="11"/>
      <c r="F620" s="11"/>
    </row>
    <row r="621" ht="12.75" customHeight="1">
      <c r="B621" s="22"/>
      <c r="D621" s="11"/>
      <c r="E621" s="11"/>
      <c r="F621" s="11"/>
    </row>
    <row r="622" ht="12.75" customHeight="1">
      <c r="B622" s="22"/>
      <c r="D622" s="11"/>
      <c r="E622" s="11"/>
      <c r="F622" s="11"/>
    </row>
    <row r="623" ht="12.75" customHeight="1">
      <c r="B623" s="22"/>
      <c r="D623" s="11"/>
      <c r="E623" s="11"/>
      <c r="F623" s="11"/>
    </row>
    <row r="624" ht="12.75" customHeight="1">
      <c r="B624" s="22"/>
      <c r="D624" s="11"/>
      <c r="E624" s="11"/>
      <c r="F624" s="11"/>
    </row>
    <row r="625" ht="12.75" customHeight="1">
      <c r="B625" s="22"/>
      <c r="D625" s="11"/>
      <c r="E625" s="11"/>
      <c r="F625" s="11"/>
    </row>
    <row r="626" ht="12.75" customHeight="1">
      <c r="B626" s="22"/>
      <c r="D626" s="11"/>
      <c r="E626" s="11"/>
      <c r="F626" s="11"/>
    </row>
    <row r="627" ht="12.75" customHeight="1">
      <c r="B627" s="22"/>
      <c r="D627" s="11"/>
      <c r="E627" s="11"/>
      <c r="F627" s="11"/>
    </row>
    <row r="628" ht="12.75" customHeight="1">
      <c r="B628" s="22"/>
      <c r="D628" s="11"/>
      <c r="E628" s="11"/>
      <c r="F628" s="11"/>
    </row>
    <row r="629" ht="12.75" customHeight="1">
      <c r="B629" s="22"/>
      <c r="D629" s="11"/>
      <c r="E629" s="11"/>
      <c r="F629" s="11"/>
    </row>
    <row r="630" ht="12.75" customHeight="1">
      <c r="B630" s="22"/>
      <c r="D630" s="11"/>
      <c r="E630" s="11"/>
      <c r="F630" s="11"/>
    </row>
    <row r="631" ht="12.75" customHeight="1">
      <c r="B631" s="22"/>
      <c r="D631" s="11"/>
      <c r="E631" s="11"/>
      <c r="F631" s="11"/>
    </row>
    <row r="632" ht="12.75" customHeight="1">
      <c r="B632" s="22"/>
      <c r="D632" s="11"/>
      <c r="E632" s="11"/>
      <c r="F632" s="11"/>
    </row>
    <row r="633" ht="12.75" customHeight="1">
      <c r="B633" s="22"/>
      <c r="D633" s="11"/>
      <c r="E633" s="11"/>
      <c r="F633" s="11"/>
    </row>
    <row r="634" ht="12.75" customHeight="1">
      <c r="B634" s="22"/>
      <c r="D634" s="11"/>
      <c r="E634" s="11"/>
      <c r="F634" s="11"/>
    </row>
    <row r="635" ht="12.75" customHeight="1">
      <c r="B635" s="22"/>
      <c r="D635" s="11"/>
      <c r="E635" s="11"/>
      <c r="F635" s="11"/>
    </row>
    <row r="636" ht="12.75" customHeight="1">
      <c r="B636" s="22"/>
      <c r="D636" s="11"/>
      <c r="E636" s="11"/>
      <c r="F636" s="11"/>
    </row>
    <row r="637" ht="12.75" customHeight="1">
      <c r="B637" s="22"/>
      <c r="D637" s="11"/>
      <c r="E637" s="11"/>
      <c r="F637" s="11"/>
    </row>
    <row r="638" ht="12.75" customHeight="1">
      <c r="B638" s="22"/>
      <c r="D638" s="11"/>
      <c r="E638" s="11"/>
      <c r="F638" s="11"/>
    </row>
    <row r="639" ht="12.75" customHeight="1">
      <c r="B639" s="22"/>
      <c r="D639" s="11"/>
      <c r="E639" s="11"/>
      <c r="F639" s="11"/>
    </row>
    <row r="640" ht="12.75" customHeight="1">
      <c r="B640" s="22"/>
      <c r="D640" s="11"/>
      <c r="E640" s="11"/>
      <c r="F640" s="11"/>
    </row>
    <row r="641" ht="12.75" customHeight="1">
      <c r="B641" s="22"/>
      <c r="D641" s="11"/>
      <c r="E641" s="11"/>
      <c r="F641" s="11"/>
    </row>
    <row r="642" ht="12.75" customHeight="1">
      <c r="B642" s="22"/>
      <c r="D642" s="11"/>
      <c r="E642" s="11"/>
      <c r="F642" s="11"/>
    </row>
    <row r="643" ht="12.75" customHeight="1">
      <c r="B643" s="22"/>
      <c r="D643" s="11"/>
      <c r="E643" s="11"/>
      <c r="F643" s="11"/>
    </row>
    <row r="644" ht="12.75" customHeight="1">
      <c r="B644" s="22"/>
      <c r="D644" s="11"/>
      <c r="E644" s="11"/>
      <c r="F644" s="11"/>
    </row>
    <row r="645" ht="12.75" customHeight="1">
      <c r="B645" s="22"/>
      <c r="D645" s="11"/>
      <c r="E645" s="11"/>
      <c r="F645" s="11"/>
    </row>
    <row r="646" ht="12.75" customHeight="1">
      <c r="B646" s="22"/>
      <c r="D646" s="11"/>
      <c r="E646" s="11"/>
      <c r="F646" s="11"/>
    </row>
    <row r="647" ht="12.75" customHeight="1">
      <c r="B647" s="22"/>
      <c r="D647" s="11"/>
      <c r="E647" s="11"/>
      <c r="F647" s="11"/>
    </row>
    <row r="648" ht="12.75" customHeight="1">
      <c r="B648" s="22"/>
      <c r="D648" s="11"/>
      <c r="E648" s="11"/>
      <c r="F648" s="11"/>
    </row>
    <row r="649" ht="12.75" customHeight="1">
      <c r="B649" s="22"/>
      <c r="D649" s="11"/>
      <c r="E649" s="11"/>
      <c r="F649" s="11"/>
    </row>
    <row r="650" ht="12.75" customHeight="1">
      <c r="B650" s="22"/>
      <c r="E650" s="11"/>
      <c r="F650" s="11"/>
    </row>
    <row r="651" ht="12.75" customHeight="1">
      <c r="B651" s="22"/>
      <c r="E651" s="11"/>
      <c r="F651" s="11"/>
    </row>
    <row r="652" ht="12.75" customHeight="1">
      <c r="B652" s="22"/>
      <c r="E652" s="11"/>
      <c r="F652" s="11"/>
    </row>
    <row r="653" ht="12.75" customHeight="1">
      <c r="B653" s="22"/>
      <c r="E653" s="11"/>
      <c r="F653" s="11"/>
    </row>
    <row r="654" ht="12.75" customHeight="1">
      <c r="B654" s="22"/>
      <c r="E654" s="11"/>
      <c r="F654" s="11"/>
    </row>
    <row r="655" ht="12.75" customHeight="1">
      <c r="B655" s="22"/>
      <c r="E655" s="11"/>
      <c r="F655" s="11"/>
    </row>
    <row r="656" ht="12.75" customHeight="1">
      <c r="B656" s="22"/>
      <c r="E656" s="11"/>
      <c r="F656" s="11"/>
    </row>
    <row r="657" ht="12.75" customHeight="1">
      <c r="B657" s="22"/>
      <c r="E657" s="11"/>
      <c r="F657" s="11"/>
    </row>
    <row r="658" ht="12.75" customHeight="1">
      <c r="B658" s="22"/>
      <c r="E658" s="11"/>
      <c r="F658" s="11"/>
    </row>
    <row r="659" ht="12.75" customHeight="1">
      <c r="B659" s="22"/>
      <c r="E659" s="11"/>
      <c r="F659" s="11"/>
    </row>
    <row r="660" ht="12.75" customHeight="1">
      <c r="B660" s="22"/>
      <c r="E660" s="11"/>
      <c r="F660" s="11"/>
    </row>
    <row r="661" ht="12.75" customHeight="1">
      <c r="B661" s="22"/>
      <c r="E661" s="11"/>
      <c r="F661" s="11"/>
    </row>
    <row r="662" ht="12.75" customHeight="1">
      <c r="B662" s="22"/>
      <c r="E662" s="11"/>
      <c r="F662" s="11"/>
    </row>
    <row r="663" ht="12.75" customHeight="1">
      <c r="B663" s="22"/>
      <c r="E663" s="11"/>
      <c r="F663" s="11"/>
    </row>
    <row r="664" ht="12.75" customHeight="1">
      <c r="B664" s="22"/>
      <c r="E664" s="11"/>
      <c r="F664" s="11"/>
    </row>
    <row r="665" ht="12.75" customHeight="1">
      <c r="B665" s="22"/>
      <c r="E665" s="11"/>
      <c r="F665" s="11"/>
    </row>
    <row r="666" ht="12.75" customHeight="1">
      <c r="B666" s="22"/>
      <c r="E666" s="11"/>
      <c r="F666" s="11"/>
    </row>
    <row r="667" ht="12.75" customHeight="1">
      <c r="B667" s="22"/>
      <c r="E667" s="11"/>
      <c r="F667" s="11"/>
    </row>
    <row r="668" ht="12.75" customHeight="1">
      <c r="B668" s="22"/>
      <c r="E668" s="11"/>
      <c r="F668" s="11"/>
    </row>
    <row r="669" ht="12.75" customHeight="1">
      <c r="B669" s="22"/>
      <c r="E669" s="11"/>
      <c r="F669" s="11"/>
    </row>
    <row r="670" ht="12.75" customHeight="1">
      <c r="B670" s="22"/>
      <c r="E670" s="11"/>
      <c r="F670" s="11"/>
    </row>
    <row r="671" ht="12.75" customHeight="1">
      <c r="B671" s="22"/>
      <c r="E671" s="11"/>
      <c r="F671" s="11"/>
    </row>
    <row r="672" ht="12.75" customHeight="1">
      <c r="B672" s="22"/>
      <c r="E672" s="11"/>
      <c r="F672" s="11"/>
    </row>
    <row r="673" ht="12.75" customHeight="1">
      <c r="B673" s="22"/>
      <c r="E673" s="11"/>
      <c r="F673" s="11"/>
    </row>
    <row r="674" ht="12.75" customHeight="1">
      <c r="B674" s="22"/>
      <c r="E674" s="11"/>
      <c r="F674" s="11"/>
    </row>
    <row r="675" ht="12.75" customHeight="1">
      <c r="B675" s="22"/>
      <c r="E675" s="11"/>
      <c r="F675" s="11"/>
    </row>
    <row r="676" ht="12.75" customHeight="1">
      <c r="B676" s="22"/>
      <c r="E676" s="11"/>
      <c r="F676" s="11"/>
    </row>
    <row r="677" ht="12.75" customHeight="1">
      <c r="B677" s="22"/>
      <c r="E677" s="11"/>
      <c r="F677" s="11"/>
    </row>
    <row r="678" ht="12.75" customHeight="1">
      <c r="B678" s="22"/>
      <c r="E678" s="11"/>
      <c r="F678" s="11"/>
    </row>
    <row r="679" ht="12.75" customHeight="1">
      <c r="B679" s="22"/>
      <c r="E679" s="11"/>
      <c r="F679" s="11"/>
    </row>
    <row r="680" ht="12.75" customHeight="1">
      <c r="B680" s="22"/>
      <c r="E680" s="11"/>
      <c r="F680" s="11"/>
    </row>
    <row r="681" ht="12.75" customHeight="1">
      <c r="B681" s="22"/>
      <c r="E681" s="11"/>
      <c r="F681" s="11"/>
    </row>
    <row r="682" ht="12.75" customHeight="1">
      <c r="B682" s="22"/>
      <c r="E682" s="11"/>
      <c r="F682" s="11"/>
    </row>
    <row r="683" ht="12.75" customHeight="1">
      <c r="B683" s="22"/>
      <c r="E683" s="11"/>
      <c r="F683" s="11"/>
    </row>
    <row r="684" ht="12.75" customHeight="1">
      <c r="B684" s="22"/>
      <c r="E684" s="11"/>
      <c r="F684" s="11"/>
    </row>
    <row r="685" ht="12.75" customHeight="1">
      <c r="B685" s="22"/>
      <c r="E685" s="11"/>
      <c r="F685" s="11"/>
    </row>
    <row r="686" ht="12.75" customHeight="1">
      <c r="B686" s="22"/>
      <c r="E686" s="11"/>
      <c r="F686" s="11"/>
    </row>
    <row r="687" ht="12.75" customHeight="1">
      <c r="B687" s="22"/>
      <c r="E687" s="11"/>
      <c r="F687" s="11"/>
    </row>
    <row r="688" ht="12.75" customHeight="1">
      <c r="B688" s="22"/>
      <c r="E688" s="11"/>
      <c r="F688" s="11"/>
    </row>
    <row r="689" ht="12.75" customHeight="1">
      <c r="B689" s="22"/>
      <c r="E689" s="11"/>
      <c r="F689" s="11"/>
    </row>
    <row r="690" ht="12.75" customHeight="1">
      <c r="B690" s="22"/>
      <c r="E690" s="11"/>
      <c r="F690" s="11"/>
    </row>
    <row r="691" ht="12.75" customHeight="1">
      <c r="B691" s="22"/>
      <c r="E691" s="11"/>
      <c r="F691" s="11"/>
    </row>
    <row r="692" ht="12.75" customHeight="1">
      <c r="B692" s="22"/>
      <c r="E692" s="11"/>
      <c r="F692" s="11"/>
    </row>
    <row r="693" ht="12.75" customHeight="1">
      <c r="B693" s="22"/>
      <c r="E693" s="11"/>
      <c r="F693" s="11"/>
    </row>
    <row r="694" ht="12.75" customHeight="1">
      <c r="B694" s="22"/>
      <c r="E694" s="11"/>
      <c r="F694" s="11"/>
    </row>
    <row r="695" ht="12.75" customHeight="1">
      <c r="B695" s="22"/>
      <c r="E695" s="11"/>
      <c r="F695" s="11"/>
    </row>
    <row r="696" ht="12.75" customHeight="1">
      <c r="B696" s="22"/>
      <c r="E696" s="11"/>
      <c r="F696" s="11"/>
    </row>
    <row r="697" ht="12.75" customHeight="1">
      <c r="B697" s="22"/>
      <c r="E697" s="11"/>
      <c r="F697" s="11"/>
    </row>
    <row r="698" ht="12.75" customHeight="1">
      <c r="B698" s="22"/>
      <c r="E698" s="11"/>
      <c r="F698" s="11"/>
    </row>
    <row r="699" ht="12.75" customHeight="1">
      <c r="B699" s="22"/>
      <c r="E699" s="11"/>
      <c r="F699" s="11"/>
    </row>
    <row r="700" ht="12.75" customHeight="1">
      <c r="B700" s="22"/>
      <c r="E700" s="11"/>
      <c r="F700" s="11"/>
    </row>
    <row r="701" ht="12.75" customHeight="1">
      <c r="B701" s="22"/>
      <c r="E701" s="11"/>
      <c r="F701" s="11"/>
    </row>
    <row r="702" ht="12.75" customHeight="1">
      <c r="B702" s="22"/>
      <c r="E702" s="11"/>
      <c r="F702" s="11"/>
    </row>
    <row r="703" ht="12.75" customHeight="1">
      <c r="B703" s="22"/>
      <c r="E703" s="11"/>
      <c r="F703" s="11"/>
    </row>
    <row r="704" ht="12.75" customHeight="1">
      <c r="B704" s="22"/>
      <c r="E704" s="11"/>
      <c r="F704" s="11"/>
    </row>
    <row r="705" ht="12.75" customHeight="1">
      <c r="B705" s="22"/>
      <c r="E705" s="11"/>
      <c r="F705" s="11"/>
    </row>
    <row r="706" ht="12.75" customHeight="1">
      <c r="B706" s="22"/>
      <c r="E706" s="11"/>
      <c r="F706" s="11"/>
    </row>
    <row r="707" ht="12.75" customHeight="1">
      <c r="B707" s="22"/>
      <c r="E707" s="11"/>
      <c r="F707" s="11"/>
    </row>
    <row r="708" ht="12.75" customHeight="1">
      <c r="B708" s="22"/>
      <c r="E708" s="11"/>
      <c r="F708" s="11"/>
    </row>
    <row r="709" ht="12.75" customHeight="1">
      <c r="B709" s="22"/>
      <c r="E709" s="11"/>
      <c r="F709" s="11"/>
    </row>
    <row r="710" ht="12.75" customHeight="1">
      <c r="B710" s="22"/>
      <c r="E710" s="11"/>
      <c r="F710" s="11"/>
    </row>
    <row r="711" ht="12.75" customHeight="1">
      <c r="B711" s="22"/>
      <c r="E711" s="11"/>
      <c r="F711" s="11"/>
    </row>
    <row r="712" ht="12.75" customHeight="1">
      <c r="B712" s="22"/>
      <c r="E712" s="11"/>
      <c r="F712" s="11"/>
    </row>
    <row r="713" ht="12.75" customHeight="1">
      <c r="B713" s="22"/>
      <c r="E713" s="11"/>
      <c r="F713" s="11"/>
    </row>
    <row r="714" ht="12.75" customHeight="1">
      <c r="B714" s="22"/>
      <c r="E714" s="11"/>
      <c r="F714" s="11"/>
    </row>
    <row r="715" ht="12.75" customHeight="1">
      <c r="B715" s="22"/>
      <c r="E715" s="11"/>
      <c r="F715" s="11"/>
    </row>
    <row r="716" ht="12.75" customHeight="1">
      <c r="B716" s="22"/>
      <c r="E716" s="11"/>
      <c r="F716" s="11"/>
    </row>
    <row r="717" ht="12.75" customHeight="1">
      <c r="B717" s="22"/>
      <c r="E717" s="11"/>
      <c r="F717" s="11"/>
    </row>
    <row r="718" ht="12.75" customHeight="1">
      <c r="B718" s="22"/>
      <c r="E718" s="11"/>
      <c r="F718" s="11"/>
    </row>
    <row r="719" ht="12.75" customHeight="1">
      <c r="B719" s="22"/>
      <c r="E719" s="11"/>
      <c r="F719" s="11"/>
    </row>
    <row r="720" ht="12.75" customHeight="1">
      <c r="B720" s="22"/>
      <c r="E720" s="11"/>
      <c r="F720" s="11"/>
    </row>
    <row r="721" ht="12.75" customHeight="1">
      <c r="B721" s="22"/>
      <c r="E721" s="11"/>
      <c r="F721" s="11"/>
    </row>
    <row r="722" ht="12.75" customHeight="1">
      <c r="B722" s="22"/>
      <c r="E722" s="11"/>
      <c r="F722" s="11"/>
    </row>
    <row r="723" ht="12.75" customHeight="1">
      <c r="B723" s="22"/>
      <c r="E723" s="11"/>
      <c r="F723" s="11"/>
    </row>
    <row r="724" ht="12.75" customHeight="1">
      <c r="B724" s="22"/>
      <c r="E724" s="11"/>
      <c r="F724" s="11"/>
    </row>
    <row r="725" ht="12.75" customHeight="1">
      <c r="B725" s="22"/>
      <c r="E725" s="11"/>
      <c r="F725" s="11"/>
    </row>
    <row r="726" ht="12.75" customHeight="1">
      <c r="B726" s="22"/>
      <c r="E726" s="11"/>
      <c r="F726" s="11"/>
    </row>
    <row r="727" ht="12.75" customHeight="1">
      <c r="B727" s="22"/>
      <c r="E727" s="11"/>
      <c r="F727" s="11"/>
    </row>
    <row r="728" ht="12.75" customHeight="1">
      <c r="B728" s="22"/>
      <c r="E728" s="11"/>
      <c r="F728" s="11"/>
    </row>
    <row r="729" ht="12.75" customHeight="1">
      <c r="B729" s="22"/>
      <c r="E729" s="11"/>
      <c r="F729" s="11"/>
    </row>
    <row r="730" ht="12.75" customHeight="1">
      <c r="B730" s="22"/>
      <c r="E730" s="11"/>
      <c r="F730" s="11"/>
    </row>
    <row r="731" ht="12.75" customHeight="1">
      <c r="B731" s="22"/>
      <c r="E731" s="11"/>
      <c r="F731" s="11"/>
    </row>
    <row r="732" ht="12.75" customHeight="1">
      <c r="B732" s="22"/>
      <c r="E732" s="11"/>
      <c r="F732" s="11"/>
    </row>
    <row r="733" ht="12.75" customHeight="1">
      <c r="B733" s="22"/>
      <c r="E733" s="11"/>
      <c r="F733" s="11"/>
    </row>
    <row r="734" ht="12.75" customHeight="1">
      <c r="B734" s="22"/>
      <c r="E734" s="11"/>
      <c r="F734" s="11"/>
    </row>
    <row r="735" ht="12.75" customHeight="1">
      <c r="B735" s="22"/>
      <c r="E735" s="11"/>
      <c r="F735" s="11"/>
    </row>
    <row r="736" ht="12.75" customHeight="1">
      <c r="B736" s="22"/>
      <c r="E736" s="11"/>
      <c r="F736" s="11"/>
    </row>
    <row r="737" ht="12.75" customHeight="1">
      <c r="B737" s="22"/>
      <c r="E737" s="11"/>
      <c r="F737" s="11"/>
    </row>
    <row r="738" ht="12.75" customHeight="1">
      <c r="B738" s="22"/>
      <c r="E738" s="11"/>
      <c r="F738" s="11"/>
    </row>
    <row r="739" ht="12.75" customHeight="1">
      <c r="B739" s="22"/>
      <c r="E739" s="11"/>
      <c r="F739" s="11"/>
    </row>
    <row r="740" ht="12.75" customHeight="1">
      <c r="B740" s="22"/>
      <c r="E740" s="11"/>
      <c r="F740" s="11"/>
    </row>
    <row r="741" ht="12.75" customHeight="1">
      <c r="B741" s="22"/>
      <c r="E741" s="11"/>
      <c r="F741" s="11"/>
    </row>
    <row r="742" ht="12.75" customHeight="1">
      <c r="B742" s="22"/>
      <c r="E742" s="11"/>
      <c r="F742" s="11"/>
    </row>
    <row r="743" ht="12.75" customHeight="1">
      <c r="B743" s="22"/>
      <c r="E743" s="11"/>
      <c r="F743" s="11"/>
    </row>
    <row r="744" ht="12.75" customHeight="1">
      <c r="B744" s="22"/>
      <c r="E744" s="11"/>
      <c r="F744" s="11"/>
    </row>
    <row r="745" ht="12.75" customHeight="1">
      <c r="B745" s="22"/>
      <c r="E745" s="11"/>
      <c r="F745" s="11"/>
    </row>
    <row r="746" ht="12.75" customHeight="1">
      <c r="B746" s="22"/>
      <c r="E746" s="11"/>
      <c r="F746" s="11"/>
    </row>
    <row r="747" ht="12.75" customHeight="1">
      <c r="B747" s="22"/>
      <c r="E747" s="11"/>
      <c r="F747" s="11"/>
    </row>
    <row r="748" ht="12.75" customHeight="1">
      <c r="B748" s="22"/>
      <c r="E748" s="11"/>
      <c r="F748" s="11"/>
    </row>
    <row r="749" ht="12.75" customHeight="1">
      <c r="B749" s="22"/>
      <c r="E749" s="11"/>
      <c r="F749" s="11"/>
    </row>
    <row r="750" ht="12.75" customHeight="1">
      <c r="B750" s="22"/>
      <c r="E750" s="11"/>
      <c r="F750" s="11"/>
    </row>
    <row r="751" ht="12.75" customHeight="1">
      <c r="B751" s="22"/>
      <c r="E751" s="11"/>
      <c r="F751" s="11"/>
    </row>
    <row r="752" ht="12.75" customHeight="1">
      <c r="B752" s="22"/>
      <c r="E752" s="11"/>
      <c r="F752" s="11"/>
    </row>
    <row r="753" ht="12.75" customHeight="1">
      <c r="B753" s="22"/>
      <c r="E753" s="11"/>
      <c r="F753" s="11"/>
    </row>
    <row r="754" ht="12.75" customHeight="1">
      <c r="B754" s="22"/>
      <c r="E754" s="11"/>
      <c r="F754" s="11"/>
    </row>
    <row r="755" ht="12.75" customHeight="1">
      <c r="B755" s="22"/>
      <c r="E755" s="11"/>
      <c r="F755" s="11"/>
    </row>
    <row r="756" ht="12.75" customHeight="1">
      <c r="B756" s="22"/>
      <c r="E756" s="11"/>
      <c r="F756" s="11"/>
    </row>
    <row r="757" ht="12.75" customHeight="1">
      <c r="B757" s="22"/>
      <c r="E757" s="11"/>
      <c r="F757" s="11"/>
    </row>
    <row r="758" ht="12.75" customHeight="1">
      <c r="B758" s="22"/>
      <c r="E758" s="11"/>
      <c r="F758" s="11"/>
    </row>
    <row r="759" ht="12.75" customHeight="1">
      <c r="B759" s="22"/>
      <c r="E759" s="11"/>
      <c r="F759" s="11"/>
    </row>
    <row r="760" ht="12.75" customHeight="1">
      <c r="B760" s="22"/>
      <c r="E760" s="11"/>
      <c r="F760" s="11"/>
    </row>
    <row r="761" ht="12.75" customHeight="1">
      <c r="B761" s="22"/>
      <c r="E761" s="11"/>
      <c r="F761" s="11"/>
    </row>
    <row r="762" ht="12.75" customHeight="1">
      <c r="B762" s="22"/>
      <c r="E762" s="11"/>
      <c r="F762" s="11"/>
    </row>
    <row r="763" ht="12.75" customHeight="1">
      <c r="B763" s="22"/>
      <c r="E763" s="11"/>
      <c r="F763" s="11"/>
    </row>
    <row r="764" ht="12.75" customHeight="1">
      <c r="B764" s="22"/>
      <c r="E764" s="11"/>
      <c r="F764" s="11"/>
    </row>
    <row r="765" ht="12.75" customHeight="1">
      <c r="B765" s="22"/>
      <c r="E765" s="11"/>
      <c r="F765" s="11"/>
    </row>
    <row r="766" ht="12.75" customHeight="1">
      <c r="B766" s="22"/>
      <c r="E766" s="11"/>
      <c r="F766" s="11"/>
    </row>
    <row r="767" ht="12.75" customHeight="1">
      <c r="B767" s="22"/>
      <c r="E767" s="11"/>
      <c r="F767" s="11"/>
    </row>
    <row r="768" ht="12.75" customHeight="1">
      <c r="B768" s="22"/>
      <c r="E768" s="11"/>
      <c r="F768" s="11"/>
    </row>
    <row r="769" ht="12.75" customHeight="1">
      <c r="B769" s="22"/>
      <c r="E769" s="11"/>
      <c r="F769" s="11"/>
    </row>
    <row r="770" ht="12.75" customHeight="1">
      <c r="B770" s="22"/>
      <c r="E770" s="11"/>
      <c r="F770" s="11"/>
    </row>
    <row r="771" ht="12.75" customHeight="1">
      <c r="B771" s="22"/>
      <c r="E771" s="11"/>
      <c r="F771" s="11"/>
    </row>
    <row r="772" ht="12.75" customHeight="1">
      <c r="B772" s="22"/>
      <c r="E772" s="11"/>
      <c r="F772" s="11"/>
    </row>
    <row r="773" ht="12.75" customHeight="1">
      <c r="B773" s="22"/>
      <c r="E773" s="11"/>
      <c r="F773" s="11"/>
    </row>
    <row r="774" ht="12.75" customHeight="1">
      <c r="B774" s="22"/>
      <c r="E774" s="11"/>
      <c r="F774" s="11"/>
    </row>
    <row r="775" ht="12.75" customHeight="1">
      <c r="B775" s="22"/>
      <c r="E775" s="11"/>
      <c r="F775" s="11"/>
    </row>
    <row r="776" ht="12.75" customHeight="1">
      <c r="B776" s="22"/>
      <c r="E776" s="11"/>
      <c r="F776" s="11"/>
    </row>
    <row r="777" ht="12.75" customHeight="1">
      <c r="B777" s="22"/>
      <c r="E777" s="11"/>
      <c r="F777" s="11"/>
    </row>
    <row r="778" ht="12.75" customHeight="1">
      <c r="B778" s="22"/>
      <c r="E778" s="11"/>
      <c r="F778" s="11"/>
    </row>
    <row r="779" ht="12.75" customHeight="1">
      <c r="B779" s="22"/>
      <c r="E779" s="11"/>
      <c r="F779" s="11"/>
    </row>
    <row r="780" ht="12.75" customHeight="1">
      <c r="B780" s="22"/>
      <c r="E780" s="11"/>
      <c r="F780" s="11"/>
    </row>
    <row r="781" ht="12.75" customHeight="1">
      <c r="B781" s="22"/>
      <c r="E781" s="11"/>
      <c r="F781" s="11"/>
    </row>
    <row r="782" ht="12.75" customHeight="1">
      <c r="B782" s="22"/>
      <c r="E782" s="11"/>
      <c r="F782" s="11"/>
    </row>
    <row r="783" ht="12.75" customHeight="1">
      <c r="B783" s="22"/>
      <c r="E783" s="11"/>
      <c r="F783" s="11"/>
    </row>
    <row r="784" ht="12.75" customHeight="1">
      <c r="B784" s="22"/>
      <c r="E784" s="11"/>
      <c r="F784" s="11"/>
    </row>
    <row r="785" ht="12.75" customHeight="1">
      <c r="B785" s="22"/>
      <c r="E785" s="11"/>
      <c r="F785" s="11"/>
    </row>
    <row r="786" ht="12.75" customHeight="1">
      <c r="B786" s="22"/>
      <c r="E786" s="11"/>
      <c r="F786" s="11"/>
    </row>
    <row r="787" ht="12.75" customHeight="1">
      <c r="B787" s="22"/>
      <c r="E787" s="11"/>
      <c r="F787" s="11"/>
    </row>
    <row r="788" ht="12.75" customHeight="1">
      <c r="B788" s="22"/>
      <c r="E788" s="11"/>
      <c r="F788" s="11"/>
    </row>
    <row r="789" ht="12.75" customHeight="1">
      <c r="B789" s="22"/>
      <c r="E789" s="11"/>
      <c r="F789" s="11"/>
    </row>
    <row r="790" ht="12.75" customHeight="1">
      <c r="B790" s="22"/>
      <c r="E790" s="11"/>
      <c r="F790" s="11"/>
    </row>
    <row r="791" ht="12.75" customHeight="1">
      <c r="B791" s="22"/>
      <c r="E791" s="11"/>
      <c r="F791" s="11"/>
    </row>
    <row r="792" ht="12.75" customHeight="1">
      <c r="B792" s="22"/>
      <c r="E792" s="11"/>
      <c r="F792" s="11"/>
    </row>
    <row r="793" ht="12.75" customHeight="1">
      <c r="B793" s="22"/>
      <c r="E793" s="11"/>
      <c r="F793" s="11"/>
    </row>
    <row r="794" ht="12.75" customHeight="1">
      <c r="B794" s="22"/>
      <c r="E794" s="11"/>
      <c r="F794" s="11"/>
    </row>
    <row r="795" ht="12.75" customHeight="1">
      <c r="B795" s="22"/>
      <c r="E795" s="11"/>
      <c r="F795" s="11"/>
    </row>
    <row r="796" ht="12.75" customHeight="1">
      <c r="B796" s="22"/>
      <c r="E796" s="11"/>
      <c r="F796" s="11"/>
    </row>
    <row r="797" ht="12.75" customHeight="1">
      <c r="B797" s="22"/>
      <c r="E797" s="11"/>
      <c r="F797" s="11"/>
    </row>
    <row r="798" ht="12.75" customHeight="1">
      <c r="B798" s="22"/>
      <c r="E798" s="11"/>
      <c r="F798" s="11"/>
    </row>
    <row r="799" ht="12.75" customHeight="1">
      <c r="B799" s="22"/>
      <c r="E799" s="11"/>
      <c r="F799" s="11"/>
    </row>
    <row r="800" ht="12.75" customHeight="1">
      <c r="B800" s="22"/>
      <c r="E800" s="11"/>
      <c r="F800" s="11"/>
    </row>
    <row r="801" ht="12.75" customHeight="1">
      <c r="B801" s="22"/>
      <c r="E801" s="11"/>
      <c r="F801" s="11"/>
    </row>
    <row r="802" ht="12.75" customHeight="1">
      <c r="B802" s="22"/>
      <c r="E802" s="11"/>
      <c r="F802" s="11"/>
    </row>
    <row r="803" ht="12.75" customHeight="1">
      <c r="B803" s="22"/>
      <c r="E803" s="11"/>
      <c r="F803" s="11"/>
    </row>
    <row r="804" ht="12.75" customHeight="1">
      <c r="B804" s="22"/>
      <c r="E804" s="11"/>
      <c r="F804" s="11"/>
    </row>
    <row r="805" ht="12.75" customHeight="1">
      <c r="B805" s="22"/>
      <c r="E805" s="11"/>
      <c r="F805" s="11"/>
    </row>
    <row r="806" ht="12.75" customHeight="1">
      <c r="B806" s="22"/>
      <c r="E806" s="11"/>
      <c r="F806" s="11"/>
    </row>
    <row r="807" ht="12.75" customHeight="1">
      <c r="B807" s="22"/>
      <c r="E807" s="11"/>
      <c r="F807" s="11"/>
    </row>
    <row r="808" ht="12.75" customHeight="1">
      <c r="B808" s="22"/>
      <c r="E808" s="11"/>
      <c r="F808" s="11"/>
    </row>
    <row r="809" ht="12.75" customHeight="1">
      <c r="B809" s="22"/>
      <c r="E809" s="11"/>
      <c r="F809" s="11"/>
    </row>
    <row r="810" ht="12.75" customHeight="1">
      <c r="B810" s="22"/>
      <c r="E810" s="11"/>
      <c r="F810" s="11"/>
    </row>
    <row r="811" ht="12.75" customHeight="1">
      <c r="B811" s="22"/>
      <c r="E811" s="11"/>
      <c r="F811" s="11"/>
    </row>
    <row r="812" ht="12.75" customHeight="1">
      <c r="B812" s="22"/>
      <c r="E812" s="11"/>
      <c r="F812" s="11"/>
    </row>
    <row r="813" ht="12.75" customHeight="1">
      <c r="B813" s="22"/>
      <c r="E813" s="11"/>
      <c r="F813" s="11"/>
    </row>
    <row r="814" ht="12.75" customHeight="1">
      <c r="B814" s="22"/>
      <c r="E814" s="11"/>
      <c r="F814" s="11"/>
    </row>
    <row r="815" ht="12.75" customHeight="1">
      <c r="B815" s="22"/>
      <c r="E815" s="11"/>
      <c r="F815" s="11"/>
    </row>
    <row r="816" ht="12.75" customHeight="1">
      <c r="B816" s="22"/>
      <c r="E816" s="11"/>
      <c r="F816" s="11"/>
    </row>
    <row r="817" ht="12.75" customHeight="1">
      <c r="B817" s="22"/>
      <c r="E817" s="11"/>
      <c r="F817" s="11"/>
    </row>
    <row r="818" ht="12.75" customHeight="1">
      <c r="B818" s="22"/>
      <c r="E818" s="11"/>
      <c r="F818" s="11"/>
    </row>
    <row r="819" ht="12.75" customHeight="1">
      <c r="B819" s="22"/>
      <c r="E819" s="11"/>
      <c r="F819" s="11"/>
    </row>
    <row r="820" ht="12.75" customHeight="1">
      <c r="B820" s="22"/>
      <c r="E820" s="11"/>
      <c r="F820" s="11"/>
    </row>
    <row r="821" ht="12.75" customHeight="1">
      <c r="B821" s="22"/>
      <c r="E821" s="11"/>
      <c r="F821" s="11"/>
    </row>
    <row r="822" ht="12.75" customHeight="1">
      <c r="B822" s="22"/>
      <c r="E822" s="11"/>
      <c r="F822" s="11"/>
    </row>
    <row r="823" ht="12.75" customHeight="1">
      <c r="B823" s="22"/>
      <c r="E823" s="11"/>
      <c r="F823" s="11"/>
    </row>
    <row r="824" ht="12.75" customHeight="1">
      <c r="B824" s="22"/>
      <c r="E824" s="11"/>
      <c r="F824" s="11"/>
    </row>
    <row r="825" ht="12.75" customHeight="1">
      <c r="B825" s="22"/>
      <c r="E825" s="11"/>
      <c r="F825" s="11"/>
    </row>
    <row r="826" ht="12.75" customHeight="1">
      <c r="B826" s="22"/>
      <c r="E826" s="11"/>
      <c r="F826" s="11"/>
    </row>
    <row r="827" ht="12.75" customHeight="1">
      <c r="B827" s="22"/>
      <c r="E827" s="11"/>
      <c r="F827" s="11"/>
    </row>
    <row r="828" ht="12.75" customHeight="1">
      <c r="B828" s="22"/>
      <c r="E828" s="11"/>
      <c r="F828" s="11"/>
    </row>
    <row r="829" ht="12.75" customHeight="1">
      <c r="B829" s="22"/>
      <c r="E829" s="11"/>
      <c r="F829" s="11"/>
    </row>
    <row r="830" ht="12.75" customHeight="1">
      <c r="B830" s="22"/>
      <c r="E830" s="11"/>
      <c r="F830" s="11"/>
    </row>
    <row r="831" ht="12.75" customHeight="1">
      <c r="B831" s="22"/>
      <c r="E831" s="11"/>
      <c r="F831" s="11"/>
    </row>
    <row r="832" ht="12.75" customHeight="1">
      <c r="B832" s="22"/>
      <c r="E832" s="11"/>
      <c r="F832" s="11"/>
    </row>
    <row r="833" ht="12.75" customHeight="1">
      <c r="B833" s="22"/>
      <c r="E833" s="11"/>
      <c r="F833" s="11"/>
    </row>
    <row r="834" ht="12.75" customHeight="1">
      <c r="B834" s="22"/>
      <c r="E834" s="11"/>
      <c r="F834" s="11"/>
    </row>
    <row r="835" ht="12.75" customHeight="1">
      <c r="B835" s="22"/>
      <c r="E835" s="11"/>
      <c r="F835" s="11"/>
    </row>
    <row r="836" ht="12.75" customHeight="1">
      <c r="B836" s="22"/>
      <c r="E836" s="11"/>
      <c r="F836" s="11"/>
    </row>
    <row r="837" ht="12.75" customHeight="1">
      <c r="B837" s="22"/>
      <c r="E837" s="11"/>
      <c r="F837" s="11"/>
    </row>
    <row r="838" ht="12.75" customHeight="1">
      <c r="B838" s="22"/>
      <c r="E838" s="11"/>
      <c r="F838" s="11"/>
    </row>
    <row r="839" ht="12.75" customHeight="1">
      <c r="B839" s="22"/>
      <c r="E839" s="11"/>
      <c r="F839" s="11"/>
    </row>
    <row r="840" ht="12.75" customHeight="1">
      <c r="B840" s="22"/>
      <c r="E840" s="11"/>
      <c r="F840" s="11"/>
    </row>
    <row r="841" ht="12.75" customHeight="1">
      <c r="B841" s="22"/>
      <c r="E841" s="11"/>
      <c r="F841" s="11"/>
    </row>
    <row r="842" ht="12.75" customHeight="1">
      <c r="B842" s="22"/>
      <c r="E842" s="11"/>
      <c r="F842" s="11"/>
    </row>
    <row r="843" ht="12.75" customHeight="1">
      <c r="B843" s="22"/>
      <c r="E843" s="11"/>
      <c r="F843" s="11"/>
    </row>
    <row r="844" ht="12.75" customHeight="1">
      <c r="B844" s="22"/>
      <c r="E844" s="11"/>
      <c r="F844" s="11"/>
    </row>
    <row r="845" ht="12.75" customHeight="1">
      <c r="B845" s="22"/>
      <c r="E845" s="11"/>
      <c r="F845" s="11"/>
    </row>
    <row r="846" ht="12.75" customHeight="1">
      <c r="B846" s="22"/>
      <c r="E846" s="11"/>
      <c r="F846" s="11"/>
    </row>
    <row r="847" ht="12.75" customHeight="1">
      <c r="B847" s="22"/>
      <c r="E847" s="11"/>
      <c r="F847" s="11"/>
    </row>
    <row r="848" ht="12.75" customHeight="1">
      <c r="B848" s="22"/>
      <c r="E848" s="11"/>
      <c r="F848" s="11"/>
    </row>
    <row r="849" ht="12.75" customHeight="1">
      <c r="B849" s="22"/>
      <c r="E849" s="11"/>
      <c r="F849" s="11"/>
    </row>
    <row r="850" ht="12.75" customHeight="1">
      <c r="B850" s="22"/>
      <c r="E850" s="11"/>
      <c r="F850" s="11"/>
    </row>
    <row r="851" ht="12.75" customHeight="1">
      <c r="B851" s="22"/>
      <c r="E851" s="11"/>
      <c r="F851" s="11"/>
    </row>
    <row r="852" ht="12.75" customHeight="1">
      <c r="B852" s="22"/>
      <c r="E852" s="11"/>
      <c r="F852" s="11"/>
    </row>
    <row r="853" ht="12.75" customHeight="1">
      <c r="B853" s="22"/>
      <c r="E853" s="11"/>
      <c r="F853" s="11"/>
    </row>
    <row r="854" ht="12.75" customHeight="1">
      <c r="B854" s="22"/>
      <c r="E854" s="11"/>
      <c r="F854" s="11"/>
    </row>
    <row r="855" ht="12.75" customHeight="1">
      <c r="B855" s="22"/>
      <c r="E855" s="11"/>
      <c r="F855" s="11"/>
    </row>
    <row r="856" ht="12.75" customHeight="1">
      <c r="B856" s="22"/>
      <c r="E856" s="11"/>
      <c r="F856" s="11"/>
    </row>
    <row r="857" ht="12.75" customHeight="1">
      <c r="B857" s="22"/>
      <c r="E857" s="11"/>
      <c r="F857" s="11"/>
    </row>
    <row r="858" ht="12.75" customHeight="1">
      <c r="B858" s="22"/>
      <c r="E858" s="11"/>
      <c r="F858" s="11"/>
    </row>
    <row r="859" ht="12.75" customHeight="1">
      <c r="B859" s="22"/>
      <c r="E859" s="11"/>
      <c r="F859" s="11"/>
    </row>
    <row r="860" ht="12.75" customHeight="1">
      <c r="B860" s="22"/>
      <c r="E860" s="11"/>
      <c r="F860" s="11"/>
    </row>
    <row r="861" ht="12.75" customHeight="1">
      <c r="B861" s="22"/>
      <c r="E861" s="11"/>
      <c r="F861" s="11"/>
    </row>
    <row r="862" ht="12.75" customHeight="1">
      <c r="B862" s="22"/>
      <c r="E862" s="11"/>
      <c r="F862" s="11"/>
    </row>
    <row r="863" ht="12.75" customHeight="1">
      <c r="B863" s="22"/>
      <c r="E863" s="11"/>
      <c r="F863" s="11"/>
    </row>
    <row r="864" ht="12.75" customHeight="1">
      <c r="B864" s="22"/>
      <c r="E864" s="11"/>
      <c r="F864" s="11"/>
    </row>
    <row r="865" ht="12.75" customHeight="1">
      <c r="B865" s="22"/>
      <c r="E865" s="11"/>
      <c r="F865" s="11"/>
    </row>
    <row r="866" ht="12.75" customHeight="1">
      <c r="B866" s="22"/>
      <c r="E866" s="11"/>
      <c r="F866" s="11"/>
    </row>
    <row r="867" ht="12.75" customHeight="1">
      <c r="B867" s="22"/>
      <c r="E867" s="11"/>
      <c r="F867" s="11"/>
    </row>
    <row r="868" ht="12.75" customHeight="1">
      <c r="B868" s="22"/>
      <c r="E868" s="11"/>
      <c r="F868" s="11"/>
    </row>
    <row r="869" ht="12.75" customHeight="1">
      <c r="B869" s="22"/>
      <c r="E869" s="11"/>
      <c r="F869" s="11"/>
    </row>
    <row r="870" ht="12.75" customHeight="1">
      <c r="B870" s="22"/>
      <c r="E870" s="11"/>
      <c r="F870" s="11"/>
    </row>
    <row r="871" ht="12.75" customHeight="1">
      <c r="B871" s="22"/>
      <c r="E871" s="11"/>
      <c r="F871" s="11"/>
    </row>
    <row r="872" ht="12.75" customHeight="1">
      <c r="B872" s="22"/>
      <c r="E872" s="11"/>
      <c r="F872" s="11"/>
    </row>
    <row r="873" ht="12.75" customHeight="1">
      <c r="B873" s="22"/>
      <c r="E873" s="11"/>
      <c r="F873" s="11"/>
    </row>
    <row r="874" ht="12.75" customHeight="1">
      <c r="B874" s="22"/>
      <c r="E874" s="11"/>
      <c r="F874" s="11"/>
    </row>
    <row r="875" ht="12.75" customHeight="1">
      <c r="B875" s="22"/>
      <c r="E875" s="11"/>
      <c r="F875" s="11"/>
    </row>
    <row r="876" ht="12.75" customHeight="1">
      <c r="B876" s="22"/>
      <c r="E876" s="11"/>
      <c r="F876" s="11"/>
    </row>
    <row r="877" ht="12.75" customHeight="1">
      <c r="B877" s="22"/>
      <c r="E877" s="11"/>
      <c r="F877" s="11"/>
    </row>
    <row r="878" ht="12.75" customHeight="1">
      <c r="B878" s="22"/>
      <c r="E878" s="11"/>
      <c r="F878" s="11"/>
    </row>
    <row r="879" ht="12.75" customHeight="1">
      <c r="B879" s="22"/>
      <c r="E879" s="11"/>
      <c r="F879" s="11"/>
    </row>
    <row r="880" ht="12.75" customHeight="1">
      <c r="B880" s="22"/>
      <c r="E880" s="11"/>
      <c r="F880" s="11"/>
    </row>
    <row r="881" ht="12.75" customHeight="1">
      <c r="B881" s="22"/>
      <c r="E881" s="11"/>
      <c r="F881" s="11"/>
    </row>
    <row r="882" ht="12.75" customHeight="1">
      <c r="B882" s="22"/>
      <c r="E882" s="11"/>
      <c r="F882" s="11"/>
    </row>
    <row r="883" ht="12.75" customHeight="1">
      <c r="B883" s="22"/>
      <c r="E883" s="11"/>
      <c r="F883" s="11"/>
    </row>
    <row r="884" ht="12.75" customHeight="1">
      <c r="B884" s="22"/>
      <c r="E884" s="11"/>
      <c r="F884" s="11"/>
    </row>
    <row r="885" ht="12.75" customHeight="1">
      <c r="B885" s="22"/>
      <c r="E885" s="11"/>
      <c r="F885" s="11"/>
    </row>
    <row r="886" ht="12.75" customHeight="1">
      <c r="B886" s="22"/>
      <c r="E886" s="11"/>
      <c r="F886" s="11"/>
    </row>
    <row r="887" ht="12.75" customHeight="1">
      <c r="B887" s="22"/>
      <c r="E887" s="11"/>
      <c r="F887" s="11"/>
    </row>
    <row r="888" ht="12.75" customHeight="1">
      <c r="B888" s="22"/>
      <c r="E888" s="11"/>
      <c r="F888" s="11"/>
    </row>
    <row r="889" ht="12.75" customHeight="1">
      <c r="B889" s="22"/>
      <c r="E889" s="11"/>
      <c r="F889" s="11"/>
    </row>
    <row r="890" ht="12.75" customHeight="1">
      <c r="B890" s="22"/>
      <c r="E890" s="11"/>
      <c r="F890" s="11"/>
    </row>
    <row r="891" ht="12.75" customHeight="1">
      <c r="B891" s="22"/>
      <c r="E891" s="11"/>
      <c r="F891" s="11"/>
    </row>
    <row r="892" ht="12.75" customHeight="1">
      <c r="B892" s="22"/>
      <c r="E892" s="11"/>
      <c r="F892" s="11"/>
    </row>
    <row r="893" ht="12.75" customHeight="1">
      <c r="B893" s="22"/>
      <c r="E893" s="11"/>
      <c r="F893" s="11"/>
    </row>
    <row r="894" ht="12.75" customHeight="1">
      <c r="B894" s="22"/>
      <c r="E894" s="11"/>
      <c r="F894" s="11"/>
    </row>
    <row r="895" ht="12.75" customHeight="1">
      <c r="B895" s="22"/>
      <c r="E895" s="11"/>
      <c r="F895" s="11"/>
    </row>
    <row r="896" ht="12.75" customHeight="1">
      <c r="B896" s="22"/>
      <c r="E896" s="11"/>
      <c r="F896" s="11"/>
    </row>
    <row r="897" ht="12.75" customHeight="1">
      <c r="B897" s="22"/>
      <c r="E897" s="11"/>
      <c r="F897" s="11"/>
    </row>
    <row r="898" ht="12.75" customHeight="1">
      <c r="B898" s="22"/>
      <c r="E898" s="11"/>
      <c r="F898" s="11"/>
    </row>
    <row r="899" ht="12.75" customHeight="1">
      <c r="B899" s="22"/>
      <c r="E899" s="11"/>
      <c r="F899" s="11"/>
    </row>
    <row r="900" ht="12.75" customHeight="1">
      <c r="B900" s="22"/>
      <c r="E900" s="11"/>
      <c r="F900" s="11"/>
    </row>
    <row r="901" ht="12.75" customHeight="1">
      <c r="B901" s="22"/>
      <c r="E901" s="11"/>
      <c r="F901" s="11"/>
    </row>
    <row r="902" ht="12.75" customHeight="1">
      <c r="B902" s="22"/>
      <c r="E902" s="11"/>
      <c r="F902" s="11"/>
    </row>
    <row r="903" ht="12.75" customHeight="1">
      <c r="B903" s="22"/>
      <c r="E903" s="11"/>
      <c r="F903" s="11"/>
    </row>
    <row r="904" ht="12.75" customHeight="1">
      <c r="B904" s="22"/>
      <c r="E904" s="11"/>
      <c r="F904" s="11"/>
    </row>
    <row r="905" ht="12.75" customHeight="1">
      <c r="B905" s="22"/>
      <c r="E905" s="11"/>
      <c r="F905" s="11"/>
    </row>
    <row r="906" ht="12.75" customHeight="1">
      <c r="B906" s="22"/>
      <c r="E906" s="11"/>
      <c r="F906" s="11"/>
    </row>
    <row r="907" ht="12.75" customHeight="1">
      <c r="B907" s="22"/>
      <c r="E907" s="11"/>
      <c r="F907" s="11"/>
    </row>
    <row r="908" ht="12.75" customHeight="1">
      <c r="B908" s="22"/>
      <c r="E908" s="11"/>
      <c r="F908" s="11"/>
    </row>
    <row r="909" ht="12.75" customHeight="1">
      <c r="B909" s="22"/>
      <c r="E909" s="11"/>
      <c r="F909" s="11"/>
    </row>
    <row r="910" ht="12.75" customHeight="1">
      <c r="B910" s="22"/>
      <c r="E910" s="11"/>
      <c r="F910" s="11"/>
    </row>
    <row r="911" ht="12.75" customHeight="1">
      <c r="B911" s="22"/>
      <c r="E911" s="11"/>
      <c r="F911" s="11"/>
    </row>
    <row r="912" ht="12.75" customHeight="1">
      <c r="B912" s="22"/>
      <c r="E912" s="11"/>
      <c r="F912" s="11"/>
    </row>
    <row r="913" ht="12.75" customHeight="1">
      <c r="B913" s="22"/>
      <c r="E913" s="11"/>
      <c r="F913" s="11"/>
    </row>
    <row r="914" ht="12.75" customHeight="1">
      <c r="B914" s="22"/>
      <c r="E914" s="11"/>
      <c r="F914" s="11"/>
    </row>
    <row r="915" ht="12.75" customHeight="1">
      <c r="B915" s="22"/>
      <c r="E915" s="11"/>
      <c r="F915" s="11"/>
    </row>
    <row r="916" ht="12.75" customHeight="1">
      <c r="B916" s="22"/>
      <c r="E916" s="11"/>
      <c r="F916" s="11"/>
    </row>
    <row r="917" ht="12.75" customHeight="1">
      <c r="B917" s="22"/>
      <c r="E917" s="11"/>
      <c r="F917" s="11"/>
    </row>
    <row r="918" ht="12.75" customHeight="1">
      <c r="B918" s="22"/>
      <c r="E918" s="11"/>
      <c r="F918" s="11"/>
    </row>
    <row r="919" ht="12.75" customHeight="1">
      <c r="B919" s="22"/>
      <c r="E919" s="11"/>
      <c r="F919" s="11"/>
    </row>
    <row r="920" ht="12.75" customHeight="1">
      <c r="B920" s="22"/>
      <c r="E920" s="11"/>
      <c r="F920" s="11"/>
    </row>
    <row r="921" ht="12.75" customHeight="1">
      <c r="B921" s="22"/>
      <c r="E921" s="11"/>
      <c r="F921" s="11"/>
    </row>
    <row r="922" ht="12.75" customHeight="1">
      <c r="B922" s="22"/>
      <c r="E922" s="11"/>
      <c r="F922" s="11"/>
    </row>
    <row r="923" ht="12.75" customHeight="1">
      <c r="B923" s="22"/>
      <c r="E923" s="11"/>
      <c r="F923" s="11"/>
    </row>
    <row r="924" ht="12.75" customHeight="1">
      <c r="B924" s="22"/>
      <c r="E924" s="11"/>
      <c r="F924" s="11"/>
    </row>
    <row r="925" ht="12.75" customHeight="1">
      <c r="B925" s="22"/>
      <c r="E925" s="11"/>
      <c r="F925" s="11"/>
    </row>
    <row r="926" ht="12.75" customHeight="1">
      <c r="B926" s="22"/>
      <c r="E926" s="11"/>
      <c r="F926" s="11"/>
    </row>
    <row r="927" ht="12.75" customHeight="1">
      <c r="B927" s="22"/>
      <c r="E927" s="11"/>
      <c r="F927" s="11"/>
    </row>
    <row r="928" ht="12.75" customHeight="1">
      <c r="B928" s="22"/>
      <c r="E928" s="11"/>
      <c r="F928" s="11"/>
    </row>
    <row r="929" ht="12.75" customHeight="1">
      <c r="B929" s="22"/>
      <c r="E929" s="11"/>
      <c r="F929" s="11"/>
    </row>
    <row r="930" ht="12.75" customHeight="1">
      <c r="B930" s="22"/>
      <c r="E930" s="11"/>
      <c r="F930" s="11"/>
    </row>
    <row r="931" ht="12.75" customHeight="1">
      <c r="B931" s="22"/>
      <c r="E931" s="11"/>
      <c r="F931" s="11"/>
    </row>
    <row r="932" ht="12.75" customHeight="1">
      <c r="B932" s="22"/>
      <c r="E932" s="11"/>
      <c r="F932" s="11"/>
    </row>
    <row r="933" ht="12.75" customHeight="1">
      <c r="B933" s="22"/>
      <c r="E933" s="11"/>
      <c r="F933" s="11"/>
    </row>
    <row r="934" ht="12.75" customHeight="1">
      <c r="B934" s="22"/>
      <c r="E934" s="11"/>
      <c r="F934" s="11"/>
    </row>
    <row r="935" ht="12.75" customHeight="1">
      <c r="B935" s="22"/>
      <c r="E935" s="11"/>
      <c r="F935" s="11"/>
    </row>
    <row r="936" ht="12.75" customHeight="1">
      <c r="B936" s="22"/>
      <c r="E936" s="11"/>
      <c r="F936" s="11"/>
    </row>
    <row r="937" ht="12.75" customHeight="1">
      <c r="B937" s="22"/>
      <c r="E937" s="11"/>
      <c r="F937" s="11"/>
    </row>
    <row r="938" ht="12.75" customHeight="1">
      <c r="B938" s="22"/>
      <c r="E938" s="11"/>
      <c r="F938" s="11"/>
    </row>
    <row r="939" ht="12.75" customHeight="1">
      <c r="B939" s="22"/>
      <c r="E939" s="11"/>
      <c r="F939" s="11"/>
    </row>
    <row r="940" ht="12.75" customHeight="1">
      <c r="B940" s="22"/>
      <c r="E940" s="11"/>
      <c r="F940" s="11"/>
    </row>
    <row r="941" ht="12.75" customHeight="1">
      <c r="B941" s="22"/>
      <c r="E941" s="11"/>
      <c r="F941" s="11"/>
    </row>
    <row r="942" ht="12.75" customHeight="1">
      <c r="B942" s="22"/>
      <c r="E942" s="11"/>
      <c r="F942" s="11"/>
    </row>
    <row r="943" ht="12.75" customHeight="1">
      <c r="B943" s="22"/>
      <c r="E943" s="11"/>
      <c r="F943" s="11"/>
    </row>
    <row r="944" ht="12.75" customHeight="1">
      <c r="B944" s="22"/>
      <c r="E944" s="11"/>
      <c r="F944" s="11"/>
    </row>
    <row r="945" ht="12.75" customHeight="1">
      <c r="B945" s="22"/>
      <c r="E945" s="11"/>
      <c r="F945" s="11"/>
    </row>
    <row r="946" ht="12.75" customHeight="1">
      <c r="B946" s="22"/>
      <c r="E946" s="11"/>
      <c r="F946" s="11"/>
    </row>
    <row r="947" ht="12.75" customHeight="1">
      <c r="B947" s="22"/>
      <c r="E947" s="11"/>
      <c r="F947" s="11"/>
    </row>
    <row r="948" ht="12.75" customHeight="1">
      <c r="B948" s="22"/>
      <c r="E948" s="11"/>
      <c r="F948" s="11"/>
    </row>
    <row r="949" ht="12.75" customHeight="1">
      <c r="B949" s="22"/>
      <c r="E949" s="11"/>
      <c r="F949" s="11"/>
    </row>
    <row r="950" ht="12.75" customHeight="1">
      <c r="B950" s="22"/>
      <c r="E950" s="11"/>
      <c r="F950" s="11"/>
    </row>
    <row r="951" ht="12.75" customHeight="1">
      <c r="B951" s="22"/>
      <c r="E951" s="11"/>
      <c r="F951" s="11"/>
    </row>
    <row r="952" ht="12.75" customHeight="1">
      <c r="B952" s="22"/>
      <c r="E952" s="11"/>
      <c r="F952" s="11"/>
    </row>
    <row r="953" ht="12.75" customHeight="1">
      <c r="B953" s="22"/>
      <c r="E953" s="11"/>
      <c r="F953" s="11"/>
    </row>
    <row r="954" ht="12.75" customHeight="1">
      <c r="B954" s="22"/>
      <c r="E954" s="11"/>
      <c r="F954" s="11"/>
    </row>
    <row r="955" ht="12.75" customHeight="1">
      <c r="B955" s="22"/>
      <c r="E955" s="11"/>
      <c r="F955" s="11"/>
    </row>
    <row r="956" ht="12.75" customHeight="1">
      <c r="B956" s="22"/>
      <c r="E956" s="11"/>
      <c r="F956" s="11"/>
    </row>
    <row r="957" ht="12.75" customHeight="1">
      <c r="B957" s="22"/>
      <c r="E957" s="11"/>
      <c r="F957" s="11"/>
    </row>
    <row r="958" ht="12.75" customHeight="1">
      <c r="B958" s="22"/>
      <c r="E958" s="11"/>
      <c r="F958" s="11"/>
    </row>
    <row r="959" ht="12.75" customHeight="1">
      <c r="B959" s="22"/>
      <c r="E959" s="11"/>
      <c r="F959" s="11"/>
    </row>
    <row r="960" ht="12.75" customHeight="1">
      <c r="B960" s="22"/>
      <c r="E960" s="11"/>
      <c r="F960" s="11"/>
    </row>
    <row r="961" ht="12.75" customHeight="1">
      <c r="B961" s="22"/>
      <c r="E961" s="11"/>
      <c r="F961" s="11"/>
    </row>
    <row r="962" ht="12.75" customHeight="1">
      <c r="B962" s="22"/>
      <c r="E962" s="11"/>
      <c r="F962" s="11"/>
    </row>
    <row r="963" ht="12.75" customHeight="1">
      <c r="B963" s="22"/>
      <c r="E963" s="11"/>
      <c r="F963" s="11"/>
    </row>
    <row r="964" ht="12.75" customHeight="1">
      <c r="B964" s="22"/>
      <c r="E964" s="11"/>
      <c r="F964" s="11"/>
    </row>
    <row r="965" ht="12.75" customHeight="1">
      <c r="B965" s="22"/>
      <c r="E965" s="11"/>
      <c r="F965" s="11"/>
    </row>
    <row r="966" ht="12.75" customHeight="1">
      <c r="B966" s="22"/>
      <c r="E966" s="11"/>
      <c r="F966" s="11"/>
    </row>
    <row r="967" ht="12.75" customHeight="1">
      <c r="B967" s="22"/>
      <c r="E967" s="11"/>
      <c r="F967" s="11"/>
    </row>
    <row r="968" ht="12.75" customHeight="1">
      <c r="B968" s="22"/>
      <c r="E968" s="11"/>
      <c r="F968" s="11"/>
    </row>
    <row r="969" ht="12.75" customHeight="1">
      <c r="B969" s="22"/>
      <c r="E969" s="11"/>
      <c r="F969" s="11"/>
    </row>
    <row r="970" ht="12.75" customHeight="1">
      <c r="B970" s="22"/>
      <c r="E970" s="11"/>
      <c r="F970" s="11"/>
    </row>
    <row r="971" ht="12.75" customHeight="1">
      <c r="B971" s="22"/>
      <c r="E971" s="11"/>
      <c r="F971" s="11"/>
    </row>
    <row r="972" ht="12.75" customHeight="1">
      <c r="B972" s="22"/>
      <c r="E972" s="11"/>
      <c r="F972" s="11"/>
    </row>
    <row r="973" ht="12.75" customHeight="1">
      <c r="B973" s="22"/>
      <c r="E973" s="11"/>
      <c r="F973" s="11"/>
    </row>
    <row r="974" ht="12.75" customHeight="1">
      <c r="B974" s="22"/>
      <c r="E974" s="11"/>
      <c r="F974" s="11"/>
    </row>
    <row r="975" ht="12.75" customHeight="1">
      <c r="B975" s="22"/>
      <c r="E975" s="11"/>
      <c r="F975" s="11"/>
    </row>
    <row r="976" ht="12.75" customHeight="1">
      <c r="B976" s="22"/>
      <c r="E976" s="11"/>
      <c r="F976" s="11"/>
    </row>
    <row r="977" ht="12.75" customHeight="1">
      <c r="B977" s="22"/>
      <c r="E977" s="11"/>
      <c r="F977" s="11"/>
    </row>
    <row r="978" ht="12.75" customHeight="1">
      <c r="B978" s="22"/>
      <c r="E978" s="11"/>
      <c r="F978" s="11"/>
    </row>
    <row r="979" ht="12.75" customHeight="1">
      <c r="B979" s="22"/>
      <c r="E979" s="11"/>
      <c r="F979" s="11"/>
    </row>
    <row r="980" ht="12.75" customHeight="1">
      <c r="B980" s="22"/>
      <c r="E980" s="11"/>
      <c r="F980" s="11"/>
    </row>
    <row r="981" ht="12.75" customHeight="1">
      <c r="B981" s="22"/>
      <c r="E981" s="11"/>
      <c r="F981" s="11"/>
    </row>
    <row r="982" ht="12.75" customHeight="1">
      <c r="B982" s="22"/>
      <c r="E982" s="11"/>
      <c r="F982" s="11"/>
    </row>
    <row r="983" ht="12.75" customHeight="1">
      <c r="B983" s="22"/>
      <c r="E983" s="11"/>
      <c r="F983" s="11"/>
    </row>
    <row r="984" ht="12.75" customHeight="1">
      <c r="B984" s="22"/>
      <c r="E984" s="11"/>
      <c r="F984" s="11"/>
    </row>
    <row r="985" ht="12.75" customHeight="1">
      <c r="B985" s="22"/>
      <c r="E985" s="11"/>
      <c r="F985" s="11"/>
    </row>
    <row r="986" ht="12.75" customHeight="1">
      <c r="B986" s="22"/>
      <c r="E986" s="11"/>
      <c r="F986" s="11"/>
    </row>
    <row r="987" ht="12.75" customHeight="1">
      <c r="B987" s="22"/>
      <c r="E987" s="11"/>
      <c r="F987" s="11"/>
    </row>
    <row r="988" ht="12.75" customHeight="1">
      <c r="B988" s="22"/>
      <c r="E988" s="11"/>
      <c r="F988" s="11"/>
    </row>
    <row r="989" ht="12.75" customHeight="1">
      <c r="B989" s="22"/>
      <c r="E989" s="11"/>
      <c r="F989" s="11"/>
    </row>
    <row r="990" ht="12.75" customHeight="1">
      <c r="B990" s="22"/>
      <c r="E990" s="11"/>
      <c r="F990" s="11"/>
    </row>
    <row r="991" ht="12.75" customHeight="1">
      <c r="B991" s="22"/>
      <c r="E991" s="11"/>
      <c r="F991" s="11"/>
    </row>
    <row r="992" ht="12.75" customHeight="1">
      <c r="B992" s="22"/>
      <c r="E992" s="11"/>
      <c r="F992" s="11"/>
    </row>
    <row r="993" ht="12.75" customHeight="1">
      <c r="B993" s="22"/>
      <c r="E993" s="11"/>
      <c r="F993" s="11"/>
    </row>
    <row r="994" ht="12.75" customHeight="1">
      <c r="B994" s="22"/>
      <c r="E994" s="11"/>
      <c r="F994" s="11"/>
    </row>
    <row r="995" ht="12.75" customHeight="1">
      <c r="B995" s="22"/>
      <c r="E995" s="11"/>
      <c r="F995" s="11"/>
    </row>
    <row r="996" ht="12.75" customHeight="1">
      <c r="B996" s="22"/>
      <c r="E996" s="11"/>
      <c r="F996" s="11"/>
    </row>
    <row r="997" ht="12.75" customHeight="1">
      <c r="B997" s="22"/>
      <c r="E997" s="11"/>
      <c r="F997" s="11"/>
    </row>
    <row r="998" ht="12.75" customHeight="1">
      <c r="B998" s="22"/>
      <c r="E998" s="11"/>
      <c r="F998" s="11"/>
    </row>
    <row r="999" ht="12.75" customHeight="1">
      <c r="B999" s="22"/>
      <c r="E999" s="11"/>
      <c r="F999" s="11"/>
    </row>
    <row r="1000" ht="12.75" customHeight="1">
      <c r="B1000" s="22"/>
      <c r="E1000" s="11"/>
      <c r="F1000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9.29"/>
    <col customWidth="1" min="3" max="3" width="19.0"/>
    <col customWidth="1" min="4" max="4" width="17.57"/>
    <col customWidth="1" min="5" max="5" width="19.14"/>
    <col customWidth="1" min="6" max="6" width="17.29"/>
    <col customWidth="1" min="7" max="7" width="18.0"/>
    <col customWidth="1" min="8" max="8" width="16.86"/>
    <col customWidth="1" min="9" max="9" width="15.86"/>
    <col customWidth="1" min="10" max="10" width="19.0"/>
    <col customWidth="1" min="11" max="11" width="16.14"/>
    <col customWidth="1" min="12" max="12" width="17.57"/>
    <col customWidth="1" min="13" max="13" width="17.0"/>
    <col customWidth="1" min="14" max="26" width="8.71"/>
  </cols>
  <sheetData>
    <row r="1" ht="12.75" customHeight="1">
      <c r="J1" s="11"/>
      <c r="K1" s="11"/>
      <c r="L1" s="11"/>
    </row>
    <row r="2" ht="12.75" customHeight="1">
      <c r="J2" s="11"/>
      <c r="K2" s="11"/>
      <c r="L2" s="11"/>
    </row>
    <row r="3" ht="12.75" customHeight="1">
      <c r="J3" s="11"/>
      <c r="K3" s="11"/>
      <c r="L3" s="11"/>
    </row>
    <row r="4" ht="12.75" customHeight="1">
      <c r="A4" s="44" t="s">
        <v>486</v>
      </c>
      <c r="B4" s="58" t="s">
        <v>38</v>
      </c>
      <c r="C4" s="58" t="s">
        <v>487</v>
      </c>
      <c r="D4" s="58" t="s">
        <v>488</v>
      </c>
      <c r="E4" s="58" t="s">
        <v>489</v>
      </c>
      <c r="F4" s="58" t="s">
        <v>490</v>
      </c>
      <c r="G4" s="58" t="s">
        <v>491</v>
      </c>
      <c r="H4" s="58" t="s">
        <v>492</v>
      </c>
      <c r="I4" s="58" t="s">
        <v>493</v>
      </c>
      <c r="J4" s="46" t="s">
        <v>494</v>
      </c>
      <c r="K4" s="46" t="s">
        <v>495</v>
      </c>
      <c r="L4" s="46" t="s">
        <v>496</v>
      </c>
      <c r="M4" s="59" t="s">
        <v>497</v>
      </c>
    </row>
    <row r="5" ht="12.75" customHeight="1">
      <c r="A5" s="49">
        <f>1</f>
        <v>1</v>
      </c>
      <c r="B5" s="28">
        <f>DCA_Forecast_Model!G6</f>
        <v>54178</v>
      </c>
      <c r="C5" s="28">
        <f>DCA_Forecast_Model!H6</f>
        <v>581</v>
      </c>
      <c r="D5" s="29">
        <f>B5*'Economic Inputs Parameters'!$B$2</f>
        <v>162534</v>
      </c>
      <c r="E5" s="29">
        <f>C5*'Economic Inputs Parameters'!$B$3</f>
        <v>40670</v>
      </c>
      <c r="F5" s="29">
        <f t="shared" ref="F5:F448" si="1">D5+E5</f>
        <v>203204</v>
      </c>
      <c r="G5" s="28">
        <f>'Economic Inputs Parameters'!$B$4</f>
        <v>3000</v>
      </c>
      <c r="H5" s="28">
        <f t="shared" ref="H5:H448" si="2">F5-G5</f>
        <v>200204</v>
      </c>
      <c r="I5" s="28">
        <f>'Economic Inputs Parameters'!$B$6</f>
        <v>-15000000</v>
      </c>
      <c r="J5" s="28">
        <f t="shared" ref="J5:J448" si="3">H5+I5</f>
        <v>-14799796</v>
      </c>
      <c r="K5" s="28">
        <f>1/(1+'Economic Inputs Parameters'!$B$5)^(A5)</f>
        <v>0.9917683229</v>
      </c>
      <c r="L5" s="28">
        <f t="shared" ref="L5:L448" si="4">J5*K5</f>
        <v>-14677968.86</v>
      </c>
      <c r="M5" s="60">
        <f>L5</f>
        <v>-14677968.86</v>
      </c>
    </row>
    <row r="6" ht="12.75" customHeight="1">
      <c r="A6" s="49">
        <f t="shared" ref="A6:A448" si="5">A5+1</f>
        <v>2</v>
      </c>
      <c r="B6" s="28">
        <f>DCA_Forecast_Model!G7</f>
        <v>48959</v>
      </c>
      <c r="C6" s="28">
        <f>DCA_Forecast_Model!H7</f>
        <v>445</v>
      </c>
      <c r="D6" s="29">
        <f>B6*'Economic Inputs Parameters'!$B$2</f>
        <v>146877</v>
      </c>
      <c r="E6" s="29">
        <f>C6*'Economic Inputs Parameters'!$B$3</f>
        <v>31150</v>
      </c>
      <c r="F6" s="29">
        <f t="shared" si="1"/>
        <v>178027</v>
      </c>
      <c r="G6" s="28">
        <f>'Economic Inputs Parameters'!$B$4</f>
        <v>3000</v>
      </c>
      <c r="H6" s="28">
        <f t="shared" si="2"/>
        <v>175027</v>
      </c>
      <c r="I6" s="29">
        <v>0.0</v>
      </c>
      <c r="J6" s="28">
        <f t="shared" si="3"/>
        <v>175027</v>
      </c>
      <c r="K6" s="28">
        <f>1/(1+'Economic Inputs Parameters'!$B$5)^(A6)</f>
        <v>0.9836044063</v>
      </c>
      <c r="L6" s="28">
        <f t="shared" si="4"/>
        <v>172157.3284</v>
      </c>
      <c r="M6" s="60">
        <f t="shared" ref="M6:M448" si="6">M5+L6</f>
        <v>-14505811.53</v>
      </c>
    </row>
    <row r="7" ht="12.75" customHeight="1">
      <c r="A7" s="49">
        <f t="shared" si="5"/>
        <v>3</v>
      </c>
      <c r="B7" s="28">
        <f>DCA_Forecast_Model!G8</f>
        <v>54378</v>
      </c>
      <c r="C7" s="28">
        <f>DCA_Forecast_Model!H8</f>
        <v>442</v>
      </c>
      <c r="D7" s="29">
        <f>B7*'Economic Inputs Parameters'!$B$2</f>
        <v>163134</v>
      </c>
      <c r="E7" s="29">
        <f>C7*'Economic Inputs Parameters'!$B$3</f>
        <v>30940</v>
      </c>
      <c r="F7" s="29">
        <f t="shared" si="1"/>
        <v>194074</v>
      </c>
      <c r="G7" s="28">
        <f>'Economic Inputs Parameters'!$B$4</f>
        <v>3000</v>
      </c>
      <c r="H7" s="28">
        <f t="shared" si="2"/>
        <v>191074</v>
      </c>
      <c r="I7" s="29">
        <v>0.0</v>
      </c>
      <c r="J7" s="28">
        <f t="shared" si="3"/>
        <v>191074</v>
      </c>
      <c r="K7" s="28">
        <f>1/(1+'Economic Inputs Parameters'!$B$5)^(A7)</f>
        <v>0.9755076925</v>
      </c>
      <c r="L7" s="28">
        <f t="shared" si="4"/>
        <v>186394.1568</v>
      </c>
      <c r="M7" s="60">
        <f t="shared" si="6"/>
        <v>-14319417.37</v>
      </c>
    </row>
    <row r="8" ht="12.75" customHeight="1">
      <c r="A8" s="49">
        <f t="shared" si="5"/>
        <v>4</v>
      </c>
      <c r="B8" s="28">
        <f>DCA_Forecast_Model!G9</f>
        <v>51098</v>
      </c>
      <c r="C8" s="28">
        <f>DCA_Forecast_Model!H9</f>
        <v>364</v>
      </c>
      <c r="D8" s="29">
        <f>B8*'Economic Inputs Parameters'!$B$2</f>
        <v>153294</v>
      </c>
      <c r="E8" s="29">
        <f>C8*'Economic Inputs Parameters'!$B$3</f>
        <v>25480</v>
      </c>
      <c r="F8" s="29">
        <f t="shared" si="1"/>
        <v>178774</v>
      </c>
      <c r="G8" s="28">
        <f>'Economic Inputs Parameters'!$B$4</f>
        <v>3000</v>
      </c>
      <c r="H8" s="28">
        <f t="shared" si="2"/>
        <v>175774</v>
      </c>
      <c r="I8" s="29">
        <v>0.0</v>
      </c>
      <c r="J8" s="28">
        <f t="shared" si="3"/>
        <v>175774</v>
      </c>
      <c r="K8" s="28">
        <f>1/(1+'Economic Inputs Parameters'!$B$5)^(A8)</f>
        <v>0.9674776282</v>
      </c>
      <c r="L8" s="28">
        <f t="shared" si="4"/>
        <v>170057.4126</v>
      </c>
      <c r="M8" s="60">
        <f t="shared" si="6"/>
        <v>-14149359.96</v>
      </c>
    </row>
    <row r="9" ht="12.75" customHeight="1">
      <c r="A9" s="49">
        <f t="shared" si="5"/>
        <v>5</v>
      </c>
      <c r="B9" s="28">
        <f>DCA_Forecast_Model!G10</f>
        <v>52736</v>
      </c>
      <c r="C9" s="28">
        <f>DCA_Forecast_Model!H10</f>
        <v>415</v>
      </c>
      <c r="D9" s="29">
        <f>B9*'Economic Inputs Parameters'!$B$2</f>
        <v>158208</v>
      </c>
      <c r="E9" s="29">
        <f>C9*'Economic Inputs Parameters'!$B$3</f>
        <v>29050</v>
      </c>
      <c r="F9" s="29">
        <f t="shared" si="1"/>
        <v>187258</v>
      </c>
      <c r="G9" s="28">
        <f>'Economic Inputs Parameters'!$B$4</f>
        <v>3000</v>
      </c>
      <c r="H9" s="28">
        <f t="shared" si="2"/>
        <v>184258</v>
      </c>
      <c r="I9" s="29">
        <v>0.0</v>
      </c>
      <c r="J9" s="28">
        <f t="shared" si="3"/>
        <v>184258</v>
      </c>
      <c r="K9" s="28">
        <f>1/(1+'Economic Inputs Parameters'!$B$5)^(A9)</f>
        <v>0.9595136648</v>
      </c>
      <c r="L9" s="28">
        <f t="shared" si="4"/>
        <v>176798.0688</v>
      </c>
      <c r="M9" s="60">
        <f t="shared" si="6"/>
        <v>-13972561.89</v>
      </c>
    </row>
    <row r="10" ht="12.75" customHeight="1">
      <c r="A10" s="49">
        <f t="shared" si="5"/>
        <v>6</v>
      </c>
      <c r="B10" s="28">
        <f>DCA_Forecast_Model!G11</f>
        <v>47572</v>
      </c>
      <c r="C10" s="28">
        <f>DCA_Forecast_Model!H11</f>
        <v>364</v>
      </c>
      <c r="D10" s="29">
        <f>B10*'Economic Inputs Parameters'!$B$2</f>
        <v>142716</v>
      </c>
      <c r="E10" s="29">
        <f>C10*'Economic Inputs Parameters'!$B$3</f>
        <v>25480</v>
      </c>
      <c r="F10" s="29">
        <f t="shared" si="1"/>
        <v>168196</v>
      </c>
      <c r="G10" s="28">
        <f>'Economic Inputs Parameters'!$B$4</f>
        <v>3000</v>
      </c>
      <c r="H10" s="28">
        <f t="shared" si="2"/>
        <v>165196</v>
      </c>
      <c r="I10" s="29">
        <v>0.0</v>
      </c>
      <c r="J10" s="28">
        <f t="shared" si="3"/>
        <v>165196</v>
      </c>
      <c r="K10" s="28">
        <f>1/(1+'Economic Inputs Parameters'!$B$5)^(A10)</f>
        <v>0.9516152581</v>
      </c>
      <c r="L10" s="28">
        <f t="shared" si="4"/>
        <v>157203.0342</v>
      </c>
      <c r="M10" s="60">
        <f t="shared" si="6"/>
        <v>-13815358.86</v>
      </c>
    </row>
    <row r="11" ht="12.75" customHeight="1">
      <c r="A11" s="49">
        <f t="shared" si="5"/>
        <v>7</v>
      </c>
      <c r="B11" s="28">
        <f>DCA_Forecast_Model!G12</f>
        <v>53651</v>
      </c>
      <c r="C11" s="28">
        <f>DCA_Forecast_Model!H12</f>
        <v>475</v>
      </c>
      <c r="D11" s="29">
        <f>B11*'Economic Inputs Parameters'!$B$2</f>
        <v>160953</v>
      </c>
      <c r="E11" s="29">
        <f>C11*'Economic Inputs Parameters'!$B$3</f>
        <v>33250</v>
      </c>
      <c r="F11" s="29">
        <f t="shared" si="1"/>
        <v>194203</v>
      </c>
      <c r="G11" s="28">
        <f>'Economic Inputs Parameters'!$B$4</f>
        <v>3000</v>
      </c>
      <c r="H11" s="28">
        <f t="shared" si="2"/>
        <v>191203</v>
      </c>
      <c r="I11" s="29">
        <v>0.0</v>
      </c>
      <c r="J11" s="28">
        <f t="shared" si="3"/>
        <v>191203</v>
      </c>
      <c r="K11" s="28">
        <f>1/(1+'Economic Inputs Parameters'!$B$5)^(A11)</f>
        <v>0.9437818686</v>
      </c>
      <c r="L11" s="28">
        <f t="shared" si="4"/>
        <v>180453.9246</v>
      </c>
      <c r="M11" s="60">
        <f t="shared" si="6"/>
        <v>-13634904.93</v>
      </c>
    </row>
    <row r="12" ht="12.75" customHeight="1">
      <c r="A12" s="49">
        <f t="shared" si="5"/>
        <v>8</v>
      </c>
      <c r="B12" s="28">
        <f>DCA_Forecast_Model!G13</f>
        <v>56592</v>
      </c>
      <c r="C12" s="28">
        <f>DCA_Forecast_Model!H13</f>
        <v>518</v>
      </c>
      <c r="D12" s="29">
        <f>B12*'Economic Inputs Parameters'!$B$2</f>
        <v>169776</v>
      </c>
      <c r="E12" s="29">
        <f>C12*'Economic Inputs Parameters'!$B$3</f>
        <v>36260</v>
      </c>
      <c r="F12" s="29">
        <f t="shared" si="1"/>
        <v>206036</v>
      </c>
      <c r="G12" s="28">
        <f>'Economic Inputs Parameters'!$B$4</f>
        <v>3000</v>
      </c>
      <c r="H12" s="28">
        <f t="shared" si="2"/>
        <v>203036</v>
      </c>
      <c r="I12" s="29">
        <v>0.0</v>
      </c>
      <c r="J12" s="28">
        <f t="shared" si="3"/>
        <v>203036</v>
      </c>
      <c r="K12" s="28">
        <f>1/(1+'Economic Inputs Parameters'!$B$5)^(A12)</f>
        <v>0.936012961</v>
      </c>
      <c r="L12" s="28">
        <f t="shared" si="4"/>
        <v>190044.3276</v>
      </c>
      <c r="M12" s="60">
        <f t="shared" si="6"/>
        <v>-13444860.61</v>
      </c>
    </row>
    <row r="13" ht="12.75" customHeight="1">
      <c r="A13" s="49">
        <f t="shared" si="5"/>
        <v>9</v>
      </c>
      <c r="B13" s="28">
        <f>DCA_Forecast_Model!G14</f>
        <v>55583</v>
      </c>
      <c r="C13" s="28">
        <f>DCA_Forecast_Model!H14</f>
        <v>498</v>
      </c>
      <c r="D13" s="29">
        <f>B13*'Economic Inputs Parameters'!$B$2</f>
        <v>166749</v>
      </c>
      <c r="E13" s="29">
        <f>C13*'Economic Inputs Parameters'!$B$3</f>
        <v>34860</v>
      </c>
      <c r="F13" s="29">
        <f t="shared" si="1"/>
        <v>201609</v>
      </c>
      <c r="G13" s="28">
        <f>'Economic Inputs Parameters'!$B$4</f>
        <v>3000</v>
      </c>
      <c r="H13" s="28">
        <f t="shared" si="2"/>
        <v>198609</v>
      </c>
      <c r="I13" s="29">
        <v>0.0</v>
      </c>
      <c r="J13" s="28">
        <f t="shared" si="3"/>
        <v>198609</v>
      </c>
      <c r="K13" s="28">
        <f>1/(1+'Economic Inputs Parameters'!$B$5)^(A13)</f>
        <v>0.9283080046</v>
      </c>
      <c r="L13" s="28">
        <f t="shared" si="4"/>
        <v>184370.3245</v>
      </c>
      <c r="M13" s="60">
        <f t="shared" si="6"/>
        <v>-13260490.28</v>
      </c>
    </row>
    <row r="14" ht="12.75" customHeight="1">
      <c r="A14" s="49">
        <f t="shared" si="5"/>
        <v>10</v>
      </c>
      <c r="B14" s="28">
        <f>DCA_Forecast_Model!G15</f>
        <v>56566</v>
      </c>
      <c r="C14" s="28">
        <f>DCA_Forecast_Model!H15</f>
        <v>825</v>
      </c>
      <c r="D14" s="29">
        <f>B14*'Economic Inputs Parameters'!$B$2</f>
        <v>169698</v>
      </c>
      <c r="E14" s="29">
        <f>C14*'Economic Inputs Parameters'!$B$3</f>
        <v>57750</v>
      </c>
      <c r="F14" s="29">
        <f t="shared" si="1"/>
        <v>227448</v>
      </c>
      <c r="G14" s="28">
        <f>'Economic Inputs Parameters'!$B$4</f>
        <v>3000</v>
      </c>
      <c r="H14" s="28">
        <f t="shared" si="2"/>
        <v>224448</v>
      </c>
      <c r="I14" s="29">
        <v>0.0</v>
      </c>
      <c r="J14" s="28">
        <f t="shared" si="3"/>
        <v>224448</v>
      </c>
      <c r="K14" s="28">
        <f>1/(1+'Economic Inputs Parameters'!$B$5)^(A14)</f>
        <v>0.9206664729</v>
      </c>
      <c r="L14" s="28">
        <f t="shared" si="4"/>
        <v>206641.7485</v>
      </c>
      <c r="M14" s="60">
        <f t="shared" si="6"/>
        <v>-13053848.53</v>
      </c>
    </row>
    <row r="15" ht="12.75" customHeight="1">
      <c r="A15" s="49">
        <f t="shared" si="5"/>
        <v>11</v>
      </c>
      <c r="B15" s="28">
        <f>DCA_Forecast_Model!G16</f>
        <v>53657</v>
      </c>
      <c r="C15" s="28">
        <f>DCA_Forecast_Model!H16</f>
        <v>590</v>
      </c>
      <c r="D15" s="29">
        <f>B15*'Economic Inputs Parameters'!$B$2</f>
        <v>160971</v>
      </c>
      <c r="E15" s="29">
        <f>C15*'Economic Inputs Parameters'!$B$3</f>
        <v>41300</v>
      </c>
      <c r="F15" s="29">
        <f t="shared" si="1"/>
        <v>202271</v>
      </c>
      <c r="G15" s="28">
        <f>'Economic Inputs Parameters'!$B$4</f>
        <v>3000</v>
      </c>
      <c r="H15" s="28">
        <f t="shared" si="2"/>
        <v>199271</v>
      </c>
      <c r="I15" s="29">
        <v>0.0</v>
      </c>
      <c r="J15" s="28">
        <f t="shared" si="3"/>
        <v>199271</v>
      </c>
      <c r="K15" s="28">
        <f>1/(1+'Economic Inputs Parameters'!$B$5)^(A15)</f>
        <v>0.9130878438</v>
      </c>
      <c r="L15" s="28">
        <f t="shared" si="4"/>
        <v>181951.9277</v>
      </c>
      <c r="M15" s="60">
        <f t="shared" si="6"/>
        <v>-12871896.6</v>
      </c>
    </row>
    <row r="16" ht="12.75" customHeight="1">
      <c r="A16" s="49">
        <f t="shared" si="5"/>
        <v>12</v>
      </c>
      <c r="B16" s="28">
        <f>DCA_Forecast_Model!G17</f>
        <v>46971</v>
      </c>
      <c r="C16" s="28">
        <f>DCA_Forecast_Model!H17</f>
        <v>1171</v>
      </c>
      <c r="D16" s="29">
        <f>B16*'Economic Inputs Parameters'!$B$2</f>
        <v>140913</v>
      </c>
      <c r="E16" s="29">
        <f>C16*'Economic Inputs Parameters'!$B$3</f>
        <v>81970</v>
      </c>
      <c r="F16" s="29">
        <f t="shared" si="1"/>
        <v>222883</v>
      </c>
      <c r="G16" s="28">
        <f>'Economic Inputs Parameters'!$B$4</f>
        <v>3000</v>
      </c>
      <c r="H16" s="28">
        <f t="shared" si="2"/>
        <v>219883</v>
      </c>
      <c r="I16" s="29">
        <v>0.0</v>
      </c>
      <c r="J16" s="28">
        <f t="shared" si="3"/>
        <v>219883</v>
      </c>
      <c r="K16" s="28">
        <f>1/(1+'Economic Inputs Parameters'!$B$5)^(A16)</f>
        <v>0.9055715995</v>
      </c>
      <c r="L16" s="28">
        <f t="shared" si="4"/>
        <v>199119.8</v>
      </c>
      <c r="M16" s="60">
        <f t="shared" si="6"/>
        <v>-12672776.8</v>
      </c>
    </row>
    <row r="17" ht="12.75" customHeight="1">
      <c r="A17" s="49">
        <f t="shared" si="5"/>
        <v>13</v>
      </c>
      <c r="B17" s="28">
        <f>DCA_Forecast_Model!G18</f>
        <v>54650</v>
      </c>
      <c r="C17" s="28">
        <f>DCA_Forecast_Model!H18</f>
        <v>741</v>
      </c>
      <c r="D17" s="29">
        <f>B17*'Economic Inputs Parameters'!$B$2</f>
        <v>163950</v>
      </c>
      <c r="E17" s="29">
        <f>C17*'Economic Inputs Parameters'!$B$3</f>
        <v>51870</v>
      </c>
      <c r="F17" s="29">
        <f t="shared" si="1"/>
        <v>215820</v>
      </c>
      <c r="G17" s="28">
        <f>'Economic Inputs Parameters'!$B$4</f>
        <v>3000</v>
      </c>
      <c r="H17" s="28">
        <f t="shared" si="2"/>
        <v>212820</v>
      </c>
      <c r="I17" s="29">
        <v>0.0</v>
      </c>
      <c r="J17" s="28">
        <f t="shared" si="3"/>
        <v>212820</v>
      </c>
      <c r="K17" s="28">
        <f>1/(1+'Economic Inputs Parameters'!$B$5)^(A17)</f>
        <v>0.8981172265</v>
      </c>
      <c r="L17" s="28">
        <f t="shared" si="4"/>
        <v>191137.3081</v>
      </c>
      <c r="M17" s="60">
        <f t="shared" si="6"/>
        <v>-12481639.5</v>
      </c>
    </row>
    <row r="18" ht="12.75" customHeight="1">
      <c r="A18" s="49">
        <f t="shared" si="5"/>
        <v>14</v>
      </c>
      <c r="B18" s="28">
        <f>DCA_Forecast_Model!G19</f>
        <v>48294</v>
      </c>
      <c r="C18" s="28">
        <f>DCA_Forecast_Model!H19</f>
        <v>689</v>
      </c>
      <c r="D18" s="29">
        <f>B18*'Economic Inputs Parameters'!$B$2</f>
        <v>144882</v>
      </c>
      <c r="E18" s="29">
        <f>C18*'Economic Inputs Parameters'!$B$3</f>
        <v>48230</v>
      </c>
      <c r="F18" s="29">
        <f t="shared" si="1"/>
        <v>193112</v>
      </c>
      <c r="G18" s="28">
        <f>'Economic Inputs Parameters'!$B$4</f>
        <v>3000</v>
      </c>
      <c r="H18" s="28">
        <f t="shared" si="2"/>
        <v>190112</v>
      </c>
      <c r="I18" s="29">
        <v>0.0</v>
      </c>
      <c r="J18" s="28">
        <f t="shared" si="3"/>
        <v>190112</v>
      </c>
      <c r="K18" s="28">
        <f>1/(1+'Economic Inputs Parameters'!$B$5)^(A18)</f>
        <v>0.8907242155</v>
      </c>
      <c r="L18" s="28">
        <f t="shared" si="4"/>
        <v>169337.3621</v>
      </c>
      <c r="M18" s="60">
        <f t="shared" si="6"/>
        <v>-12312302.13</v>
      </c>
    </row>
    <row r="19" ht="12.75" customHeight="1">
      <c r="A19" s="49">
        <f t="shared" si="5"/>
        <v>15</v>
      </c>
      <c r="B19" s="28">
        <f>DCA_Forecast_Model!G20</f>
        <v>55288</v>
      </c>
      <c r="C19" s="28">
        <f>DCA_Forecast_Model!H20</f>
        <v>708</v>
      </c>
      <c r="D19" s="29">
        <f>B19*'Economic Inputs Parameters'!$B$2</f>
        <v>165864</v>
      </c>
      <c r="E19" s="29">
        <f>C19*'Economic Inputs Parameters'!$B$3</f>
        <v>49560</v>
      </c>
      <c r="F19" s="29">
        <f t="shared" si="1"/>
        <v>215424</v>
      </c>
      <c r="G19" s="28">
        <f>'Economic Inputs Parameters'!$B$4</f>
        <v>3000</v>
      </c>
      <c r="H19" s="28">
        <f t="shared" si="2"/>
        <v>212424</v>
      </c>
      <c r="I19" s="29">
        <v>0.0</v>
      </c>
      <c r="J19" s="28">
        <f t="shared" si="3"/>
        <v>212424</v>
      </c>
      <c r="K19" s="28">
        <f>1/(1+'Economic Inputs Parameters'!$B$5)^(A19)</f>
        <v>0.8833920614</v>
      </c>
      <c r="L19" s="28">
        <f t="shared" si="4"/>
        <v>187653.6753</v>
      </c>
      <c r="M19" s="60">
        <f t="shared" si="6"/>
        <v>-12124648.46</v>
      </c>
    </row>
    <row r="20" ht="12.75" customHeight="1">
      <c r="A20" s="49">
        <f t="shared" si="5"/>
        <v>16</v>
      </c>
      <c r="B20" s="28">
        <f>DCA_Forecast_Model!G21</f>
        <v>49534</v>
      </c>
      <c r="C20" s="28">
        <f>DCA_Forecast_Model!H21</f>
        <v>644</v>
      </c>
      <c r="D20" s="29">
        <f>B20*'Economic Inputs Parameters'!$B$2</f>
        <v>148602</v>
      </c>
      <c r="E20" s="29">
        <f>C20*'Economic Inputs Parameters'!$B$3</f>
        <v>45080</v>
      </c>
      <c r="F20" s="29">
        <f t="shared" si="1"/>
        <v>193682</v>
      </c>
      <c r="G20" s="28">
        <f>'Economic Inputs Parameters'!$B$4</f>
        <v>3000</v>
      </c>
      <c r="H20" s="28">
        <f t="shared" si="2"/>
        <v>190682</v>
      </c>
      <c r="I20" s="29">
        <v>0.0</v>
      </c>
      <c r="J20" s="28">
        <f t="shared" si="3"/>
        <v>190682</v>
      </c>
      <c r="K20" s="28">
        <f>1/(1+'Economic Inputs Parameters'!$B$5)^(A20)</f>
        <v>0.8761202632</v>
      </c>
      <c r="L20" s="28">
        <f t="shared" si="4"/>
        <v>167060.364</v>
      </c>
      <c r="M20" s="60">
        <f t="shared" si="6"/>
        <v>-11957588.1</v>
      </c>
    </row>
    <row r="21" ht="12.75" customHeight="1">
      <c r="A21" s="49">
        <f t="shared" si="5"/>
        <v>17</v>
      </c>
      <c r="B21" s="28">
        <f>DCA_Forecast_Model!G22</f>
        <v>51012</v>
      </c>
      <c r="C21" s="28">
        <f>DCA_Forecast_Model!H22</f>
        <v>594</v>
      </c>
      <c r="D21" s="29">
        <f>B21*'Economic Inputs Parameters'!$B$2</f>
        <v>153036</v>
      </c>
      <c r="E21" s="29">
        <f>C21*'Economic Inputs Parameters'!$B$3</f>
        <v>41580</v>
      </c>
      <c r="F21" s="29">
        <f t="shared" si="1"/>
        <v>194616</v>
      </c>
      <c r="G21" s="28">
        <f>'Economic Inputs Parameters'!$B$4</f>
        <v>3000</v>
      </c>
      <c r="H21" s="28">
        <f t="shared" si="2"/>
        <v>191616</v>
      </c>
      <c r="I21" s="29">
        <v>0.0</v>
      </c>
      <c r="J21" s="28">
        <f t="shared" si="3"/>
        <v>191616</v>
      </c>
      <c r="K21" s="28">
        <f>1/(1+'Economic Inputs Parameters'!$B$5)^(A21)</f>
        <v>0.8689083241</v>
      </c>
      <c r="L21" s="28">
        <f t="shared" si="4"/>
        <v>166496.7374</v>
      </c>
      <c r="M21" s="60">
        <f t="shared" si="6"/>
        <v>-11791091.36</v>
      </c>
    </row>
    <row r="22" ht="12.75" customHeight="1">
      <c r="A22" s="49">
        <f t="shared" si="5"/>
        <v>18</v>
      </c>
      <c r="B22" s="28">
        <f>DCA_Forecast_Model!G23</f>
        <v>49473</v>
      </c>
      <c r="C22" s="28">
        <f>DCA_Forecast_Model!H23</f>
        <v>426</v>
      </c>
      <c r="D22" s="29">
        <f>B22*'Economic Inputs Parameters'!$B$2</f>
        <v>148419</v>
      </c>
      <c r="E22" s="29">
        <f>C22*'Economic Inputs Parameters'!$B$3</f>
        <v>29820</v>
      </c>
      <c r="F22" s="29">
        <f t="shared" si="1"/>
        <v>178239</v>
      </c>
      <c r="G22" s="28">
        <f>'Economic Inputs Parameters'!$B$4</f>
        <v>3000</v>
      </c>
      <c r="H22" s="28">
        <f t="shared" si="2"/>
        <v>175239</v>
      </c>
      <c r="I22" s="29">
        <v>0.0</v>
      </c>
      <c r="J22" s="28">
        <f t="shared" si="3"/>
        <v>175239</v>
      </c>
      <c r="K22" s="28">
        <f>1/(1+'Economic Inputs Parameters'!$B$5)^(A22)</f>
        <v>0.8617557514</v>
      </c>
      <c r="L22" s="28">
        <f t="shared" si="4"/>
        <v>151013.2161</v>
      </c>
      <c r="M22" s="60">
        <f t="shared" si="6"/>
        <v>-11640078.14</v>
      </c>
    </row>
    <row r="23" ht="12.75" customHeight="1">
      <c r="A23" s="49">
        <f t="shared" si="5"/>
        <v>19</v>
      </c>
      <c r="B23" s="28">
        <f>DCA_Forecast_Model!G24</f>
        <v>52823</v>
      </c>
      <c r="C23" s="28">
        <f>DCA_Forecast_Model!H24</f>
        <v>437</v>
      </c>
      <c r="D23" s="29">
        <f>B23*'Economic Inputs Parameters'!$B$2</f>
        <v>158469</v>
      </c>
      <c r="E23" s="29">
        <f>C23*'Economic Inputs Parameters'!$B$3</f>
        <v>30590</v>
      </c>
      <c r="F23" s="29">
        <f t="shared" si="1"/>
        <v>189059</v>
      </c>
      <c r="G23" s="28">
        <f>'Economic Inputs Parameters'!$B$4</f>
        <v>3000</v>
      </c>
      <c r="H23" s="28">
        <f t="shared" si="2"/>
        <v>186059</v>
      </c>
      <c r="I23" s="29">
        <v>0.0</v>
      </c>
      <c r="J23" s="28">
        <f t="shared" si="3"/>
        <v>186059</v>
      </c>
      <c r="K23" s="28">
        <f>1/(1+'Economic Inputs Parameters'!$B$5)^(A23)</f>
        <v>0.8546620563</v>
      </c>
      <c r="L23" s="28">
        <f t="shared" si="4"/>
        <v>159017.5675</v>
      </c>
      <c r="M23" s="60">
        <f t="shared" si="6"/>
        <v>-11481060.57</v>
      </c>
    </row>
    <row r="24" ht="12.75" customHeight="1">
      <c r="A24" s="49">
        <f t="shared" si="5"/>
        <v>20</v>
      </c>
      <c r="B24" s="28">
        <f>DCA_Forecast_Model!G25</f>
        <v>52750</v>
      </c>
      <c r="C24" s="28">
        <f>DCA_Forecast_Model!H25</f>
        <v>503</v>
      </c>
      <c r="D24" s="29">
        <f>B24*'Economic Inputs Parameters'!$B$2</f>
        <v>158250</v>
      </c>
      <c r="E24" s="29">
        <f>C24*'Economic Inputs Parameters'!$B$3</f>
        <v>35210</v>
      </c>
      <c r="F24" s="29">
        <f t="shared" si="1"/>
        <v>193460</v>
      </c>
      <c r="G24" s="28">
        <f>'Economic Inputs Parameters'!$B$4</f>
        <v>3000</v>
      </c>
      <c r="H24" s="28">
        <f t="shared" si="2"/>
        <v>190460</v>
      </c>
      <c r="I24" s="29">
        <v>0.0</v>
      </c>
      <c r="J24" s="28">
        <f t="shared" si="3"/>
        <v>190460</v>
      </c>
      <c r="K24" s="28">
        <f>1/(1+'Economic Inputs Parameters'!$B$5)^(A24)</f>
        <v>0.8476267543</v>
      </c>
      <c r="L24" s="28">
        <f t="shared" si="4"/>
        <v>161438.9916</v>
      </c>
      <c r="M24" s="60">
        <f t="shared" si="6"/>
        <v>-11319621.58</v>
      </c>
    </row>
    <row r="25" ht="12.75" customHeight="1">
      <c r="A25" s="49">
        <f t="shared" si="5"/>
        <v>21</v>
      </c>
      <c r="B25" s="28">
        <f>DCA_Forecast_Model!G26</f>
        <v>51800</v>
      </c>
      <c r="C25" s="28">
        <f>DCA_Forecast_Model!H26</f>
        <v>383</v>
      </c>
      <c r="D25" s="29">
        <f>B25*'Economic Inputs Parameters'!$B$2</f>
        <v>155400</v>
      </c>
      <c r="E25" s="29">
        <f>C25*'Economic Inputs Parameters'!$B$3</f>
        <v>26810</v>
      </c>
      <c r="F25" s="29">
        <f t="shared" si="1"/>
        <v>182210</v>
      </c>
      <c r="G25" s="28">
        <f>'Economic Inputs Parameters'!$B$4</f>
        <v>3000</v>
      </c>
      <c r="H25" s="28">
        <f t="shared" si="2"/>
        <v>179210</v>
      </c>
      <c r="I25" s="29">
        <v>0.0</v>
      </c>
      <c r="J25" s="28">
        <f t="shared" si="3"/>
        <v>179210</v>
      </c>
      <c r="K25" s="28">
        <f>1/(1+'Economic Inputs Parameters'!$B$5)^(A25)</f>
        <v>0.8406493646</v>
      </c>
      <c r="L25" s="28">
        <f t="shared" si="4"/>
        <v>150652.7726</v>
      </c>
      <c r="M25" s="60">
        <f t="shared" si="6"/>
        <v>-11168968.81</v>
      </c>
    </row>
    <row r="26" ht="12.75" customHeight="1">
      <c r="A26" s="49">
        <f t="shared" si="5"/>
        <v>22</v>
      </c>
      <c r="B26" s="28">
        <f>DCA_Forecast_Model!G27</f>
        <v>52972</v>
      </c>
      <c r="C26" s="28">
        <f>DCA_Forecast_Model!H27</f>
        <v>492</v>
      </c>
      <c r="D26" s="29">
        <f>B26*'Economic Inputs Parameters'!$B$2</f>
        <v>158916</v>
      </c>
      <c r="E26" s="29">
        <f>C26*'Economic Inputs Parameters'!$B$3</f>
        <v>34440</v>
      </c>
      <c r="F26" s="29">
        <f t="shared" si="1"/>
        <v>193356</v>
      </c>
      <c r="G26" s="28">
        <f>'Economic Inputs Parameters'!$B$4</f>
        <v>3000</v>
      </c>
      <c r="H26" s="28">
        <f t="shared" si="2"/>
        <v>190356</v>
      </c>
      <c r="I26" s="29">
        <v>0.0</v>
      </c>
      <c r="J26" s="28">
        <f t="shared" si="3"/>
        <v>190356</v>
      </c>
      <c r="K26" s="28">
        <f>1/(1+'Economic Inputs Parameters'!$B$5)^(A26)</f>
        <v>0.8337294104</v>
      </c>
      <c r="L26" s="28">
        <f t="shared" si="4"/>
        <v>158705.3957</v>
      </c>
      <c r="M26" s="60">
        <f t="shared" si="6"/>
        <v>-11010263.41</v>
      </c>
    </row>
    <row r="27" ht="12.75" customHeight="1">
      <c r="A27" s="49">
        <f t="shared" si="5"/>
        <v>23</v>
      </c>
      <c r="B27" s="28">
        <f>DCA_Forecast_Model!G28</f>
        <v>53906</v>
      </c>
      <c r="C27" s="28">
        <f>DCA_Forecast_Model!H28</f>
        <v>442</v>
      </c>
      <c r="D27" s="29">
        <f>B27*'Economic Inputs Parameters'!$B$2</f>
        <v>161718</v>
      </c>
      <c r="E27" s="29">
        <f>C27*'Economic Inputs Parameters'!$B$3</f>
        <v>30940</v>
      </c>
      <c r="F27" s="29">
        <f t="shared" si="1"/>
        <v>192658</v>
      </c>
      <c r="G27" s="28">
        <f>'Economic Inputs Parameters'!$B$4</f>
        <v>3000</v>
      </c>
      <c r="H27" s="28">
        <f t="shared" si="2"/>
        <v>189658</v>
      </c>
      <c r="I27" s="29">
        <v>0.0</v>
      </c>
      <c r="J27" s="28">
        <f t="shared" si="3"/>
        <v>189658</v>
      </c>
      <c r="K27" s="28">
        <f>1/(1+'Economic Inputs Parameters'!$B$5)^(A27)</f>
        <v>0.8268664192</v>
      </c>
      <c r="L27" s="28">
        <f t="shared" si="4"/>
        <v>156821.8313</v>
      </c>
      <c r="M27" s="60">
        <f t="shared" si="6"/>
        <v>-10853441.58</v>
      </c>
    </row>
    <row r="28" ht="12.75" customHeight="1">
      <c r="A28" s="49">
        <f t="shared" si="5"/>
        <v>24</v>
      </c>
      <c r="B28" s="28">
        <f>DCA_Forecast_Model!G29</f>
        <v>54726</v>
      </c>
      <c r="C28" s="28">
        <f>DCA_Forecast_Model!H29</f>
        <v>535</v>
      </c>
      <c r="D28" s="29">
        <f>B28*'Economic Inputs Parameters'!$B$2</f>
        <v>164178</v>
      </c>
      <c r="E28" s="29">
        <f>C28*'Economic Inputs Parameters'!$B$3</f>
        <v>37450</v>
      </c>
      <c r="F28" s="29">
        <f t="shared" si="1"/>
        <v>201628</v>
      </c>
      <c r="G28" s="28">
        <f>'Economic Inputs Parameters'!$B$4</f>
        <v>3000</v>
      </c>
      <c r="H28" s="28">
        <f t="shared" si="2"/>
        <v>198628</v>
      </c>
      <c r="I28" s="29">
        <v>0.0</v>
      </c>
      <c r="J28" s="28">
        <f t="shared" si="3"/>
        <v>198628</v>
      </c>
      <c r="K28" s="28">
        <f>1/(1+'Economic Inputs Parameters'!$B$5)^(A28)</f>
        <v>0.8200599218</v>
      </c>
      <c r="L28" s="28">
        <f t="shared" si="4"/>
        <v>162886.8622</v>
      </c>
      <c r="M28" s="60">
        <f t="shared" si="6"/>
        <v>-10690554.72</v>
      </c>
    </row>
    <row r="29" ht="12.75" customHeight="1">
      <c r="A29" s="49">
        <f t="shared" si="5"/>
        <v>25</v>
      </c>
      <c r="B29" s="28">
        <f>DCA_Forecast_Model!G30</f>
        <v>53710</v>
      </c>
      <c r="C29" s="28">
        <f>DCA_Forecast_Model!H30</f>
        <v>428</v>
      </c>
      <c r="D29" s="29">
        <f>B29*'Economic Inputs Parameters'!$B$2</f>
        <v>161130</v>
      </c>
      <c r="E29" s="29">
        <f>C29*'Economic Inputs Parameters'!$B$3</f>
        <v>29960</v>
      </c>
      <c r="F29" s="29">
        <f t="shared" si="1"/>
        <v>191090</v>
      </c>
      <c r="G29" s="28">
        <f>'Economic Inputs Parameters'!$B$4</f>
        <v>3000</v>
      </c>
      <c r="H29" s="28">
        <f t="shared" si="2"/>
        <v>188090</v>
      </c>
      <c r="I29" s="29">
        <v>0.0</v>
      </c>
      <c r="J29" s="28">
        <f t="shared" si="3"/>
        <v>188090</v>
      </c>
      <c r="K29" s="28">
        <f>1/(1+'Economic Inputs Parameters'!$B$5)^(A29)</f>
        <v>0.8133094534</v>
      </c>
      <c r="L29" s="28">
        <f t="shared" si="4"/>
        <v>152975.3751</v>
      </c>
      <c r="M29" s="60">
        <f t="shared" si="6"/>
        <v>-10537579.35</v>
      </c>
    </row>
    <row r="30" ht="12.75" customHeight="1">
      <c r="A30" s="49">
        <f t="shared" si="5"/>
        <v>26</v>
      </c>
      <c r="B30" s="28">
        <f>DCA_Forecast_Model!G31</f>
        <v>49090</v>
      </c>
      <c r="C30" s="28">
        <f>DCA_Forecast_Model!H31</f>
        <v>404</v>
      </c>
      <c r="D30" s="29">
        <f>B30*'Economic Inputs Parameters'!$B$2</f>
        <v>147270</v>
      </c>
      <c r="E30" s="29">
        <f>C30*'Economic Inputs Parameters'!$B$3</f>
        <v>28280</v>
      </c>
      <c r="F30" s="29">
        <f t="shared" si="1"/>
        <v>175550</v>
      </c>
      <c r="G30" s="28">
        <f>'Economic Inputs Parameters'!$B$4</f>
        <v>3000</v>
      </c>
      <c r="H30" s="28">
        <f t="shared" si="2"/>
        <v>172550</v>
      </c>
      <c r="I30" s="29">
        <v>0.0</v>
      </c>
      <c r="J30" s="28">
        <f t="shared" si="3"/>
        <v>172550</v>
      </c>
      <c r="K30" s="28">
        <f>1/(1+'Economic Inputs Parameters'!$B$5)^(A30)</f>
        <v>0.8066145526</v>
      </c>
      <c r="L30" s="28">
        <f t="shared" si="4"/>
        <v>139181.341</v>
      </c>
      <c r="M30" s="60">
        <f t="shared" si="6"/>
        <v>-10398398</v>
      </c>
    </row>
    <row r="31" ht="12.75" customHeight="1">
      <c r="A31" s="49">
        <f t="shared" si="5"/>
        <v>27</v>
      </c>
      <c r="B31" s="28">
        <f>DCA_Forecast_Model!G32</f>
        <v>57682</v>
      </c>
      <c r="C31" s="28">
        <f>DCA_Forecast_Model!H32</f>
        <v>671</v>
      </c>
      <c r="D31" s="29">
        <f>B31*'Economic Inputs Parameters'!$B$2</f>
        <v>173046</v>
      </c>
      <c r="E31" s="29">
        <f>C31*'Economic Inputs Parameters'!$B$3</f>
        <v>46970</v>
      </c>
      <c r="F31" s="29">
        <f t="shared" si="1"/>
        <v>220016</v>
      </c>
      <c r="G31" s="28">
        <f>'Economic Inputs Parameters'!$B$4</f>
        <v>3000</v>
      </c>
      <c r="H31" s="28">
        <f t="shared" si="2"/>
        <v>217016</v>
      </c>
      <c r="I31" s="29">
        <v>0.0</v>
      </c>
      <c r="J31" s="28">
        <f t="shared" si="3"/>
        <v>217016</v>
      </c>
      <c r="K31" s="28">
        <f>1/(1+'Economic Inputs Parameters'!$B$5)^(A31)</f>
        <v>0.799974762</v>
      </c>
      <c r="L31" s="28">
        <f t="shared" si="4"/>
        <v>173607.323</v>
      </c>
      <c r="M31" s="60">
        <f t="shared" si="6"/>
        <v>-10224790.68</v>
      </c>
    </row>
    <row r="32" ht="12.75" customHeight="1">
      <c r="A32" s="49">
        <f t="shared" si="5"/>
        <v>28</v>
      </c>
      <c r="B32" s="28">
        <f>DCA_Forecast_Model!G33</f>
        <v>51954</v>
      </c>
      <c r="C32" s="28">
        <f>DCA_Forecast_Model!H33</f>
        <v>497</v>
      </c>
      <c r="D32" s="29">
        <f>B32*'Economic Inputs Parameters'!$B$2</f>
        <v>155862</v>
      </c>
      <c r="E32" s="29">
        <f>C32*'Economic Inputs Parameters'!$B$3</f>
        <v>34790</v>
      </c>
      <c r="F32" s="29">
        <f t="shared" si="1"/>
        <v>190652</v>
      </c>
      <c r="G32" s="28">
        <f>'Economic Inputs Parameters'!$B$4</f>
        <v>3000</v>
      </c>
      <c r="H32" s="28">
        <f t="shared" si="2"/>
        <v>187652</v>
      </c>
      <c r="I32" s="29">
        <v>0.0</v>
      </c>
      <c r="J32" s="28">
        <f t="shared" si="3"/>
        <v>187652</v>
      </c>
      <c r="K32" s="28">
        <f>1/(1+'Economic Inputs Parameters'!$B$5)^(A32)</f>
        <v>0.7933896281</v>
      </c>
      <c r="L32" s="28">
        <f t="shared" si="4"/>
        <v>148881.1505</v>
      </c>
      <c r="M32" s="60">
        <f t="shared" si="6"/>
        <v>-10075909.53</v>
      </c>
    </row>
    <row r="33" ht="12.75" customHeight="1">
      <c r="A33" s="49">
        <f t="shared" si="5"/>
        <v>29</v>
      </c>
      <c r="B33" s="28">
        <f>DCA_Forecast_Model!G34</f>
        <v>57929</v>
      </c>
      <c r="C33" s="28">
        <f>DCA_Forecast_Model!H34</f>
        <v>422</v>
      </c>
      <c r="D33" s="29">
        <f>B33*'Economic Inputs Parameters'!$B$2</f>
        <v>173787</v>
      </c>
      <c r="E33" s="29">
        <f>C33*'Economic Inputs Parameters'!$B$3</f>
        <v>29540</v>
      </c>
      <c r="F33" s="29">
        <f t="shared" si="1"/>
        <v>203327</v>
      </c>
      <c r="G33" s="28">
        <f>'Economic Inputs Parameters'!$B$4</f>
        <v>3000</v>
      </c>
      <c r="H33" s="28">
        <f t="shared" si="2"/>
        <v>200327</v>
      </c>
      <c r="I33" s="29">
        <v>0.0</v>
      </c>
      <c r="J33" s="28">
        <f t="shared" si="3"/>
        <v>200327</v>
      </c>
      <c r="K33" s="28">
        <f>1/(1+'Economic Inputs Parameters'!$B$5)^(A33)</f>
        <v>0.7868587009</v>
      </c>
      <c r="L33" s="28">
        <f t="shared" si="4"/>
        <v>157629.043</v>
      </c>
      <c r="M33" s="60">
        <f t="shared" si="6"/>
        <v>-9918280.488</v>
      </c>
    </row>
    <row r="34" ht="12.75" customHeight="1">
      <c r="A34" s="49">
        <f t="shared" si="5"/>
        <v>30</v>
      </c>
      <c r="B34" s="28">
        <f>DCA_Forecast_Model!G35</f>
        <v>52026</v>
      </c>
      <c r="C34" s="28">
        <f>DCA_Forecast_Model!H35</f>
        <v>554</v>
      </c>
      <c r="D34" s="29">
        <f>B34*'Economic Inputs Parameters'!$B$2</f>
        <v>156078</v>
      </c>
      <c r="E34" s="29">
        <f>C34*'Economic Inputs Parameters'!$B$3</f>
        <v>38780</v>
      </c>
      <c r="F34" s="29">
        <f t="shared" si="1"/>
        <v>194858</v>
      </c>
      <c r="G34" s="28">
        <f>'Economic Inputs Parameters'!$B$4</f>
        <v>3000</v>
      </c>
      <c r="H34" s="28">
        <f t="shared" si="2"/>
        <v>191858</v>
      </c>
      <c r="I34" s="29">
        <v>0.0</v>
      </c>
      <c r="J34" s="28">
        <f t="shared" si="3"/>
        <v>191858</v>
      </c>
      <c r="K34" s="28">
        <f>1/(1+'Economic Inputs Parameters'!$B$5)^(A34)</f>
        <v>0.7803815342</v>
      </c>
      <c r="L34" s="28">
        <f t="shared" si="4"/>
        <v>149722.4404</v>
      </c>
      <c r="M34" s="60">
        <f t="shared" si="6"/>
        <v>-9768558.048</v>
      </c>
    </row>
    <row r="35" ht="12.75" customHeight="1">
      <c r="A35" s="49">
        <f t="shared" si="5"/>
        <v>31</v>
      </c>
      <c r="B35" s="28">
        <f>DCA_Forecast_Model!G36</f>
        <v>49260</v>
      </c>
      <c r="C35" s="28">
        <f>DCA_Forecast_Model!H36</f>
        <v>435</v>
      </c>
      <c r="D35" s="29">
        <f>B35*'Economic Inputs Parameters'!$B$2</f>
        <v>147780</v>
      </c>
      <c r="E35" s="29">
        <f>C35*'Economic Inputs Parameters'!$B$3</f>
        <v>30450</v>
      </c>
      <c r="F35" s="29">
        <f t="shared" si="1"/>
        <v>178230</v>
      </c>
      <c r="G35" s="28">
        <f>'Economic Inputs Parameters'!$B$4</f>
        <v>3000</v>
      </c>
      <c r="H35" s="28">
        <f t="shared" si="2"/>
        <v>175230</v>
      </c>
      <c r="I35" s="29">
        <v>0.0</v>
      </c>
      <c r="J35" s="28">
        <f t="shared" si="3"/>
        <v>175230</v>
      </c>
      <c r="K35" s="28">
        <f>1/(1+'Economic Inputs Parameters'!$B$5)^(A35)</f>
        <v>0.7739576854</v>
      </c>
      <c r="L35" s="28">
        <f t="shared" si="4"/>
        <v>135620.6052</v>
      </c>
      <c r="M35" s="60">
        <f t="shared" si="6"/>
        <v>-9632937.443</v>
      </c>
    </row>
    <row r="36" ht="12.75" customHeight="1">
      <c r="A36" s="49">
        <f t="shared" si="5"/>
        <v>32</v>
      </c>
      <c r="B36" s="28">
        <f>DCA_Forecast_Model!G37</f>
        <v>47999</v>
      </c>
      <c r="C36" s="28">
        <f>DCA_Forecast_Model!H37</f>
        <v>503</v>
      </c>
      <c r="D36" s="29">
        <f>B36*'Economic Inputs Parameters'!$B$2</f>
        <v>143997</v>
      </c>
      <c r="E36" s="29">
        <f>C36*'Economic Inputs Parameters'!$B$3</f>
        <v>35210</v>
      </c>
      <c r="F36" s="29">
        <f t="shared" si="1"/>
        <v>179207</v>
      </c>
      <c r="G36" s="28">
        <f>'Economic Inputs Parameters'!$B$4</f>
        <v>3000</v>
      </c>
      <c r="H36" s="28">
        <f t="shared" si="2"/>
        <v>176207</v>
      </c>
      <c r="I36" s="29">
        <v>0.0</v>
      </c>
      <c r="J36" s="28">
        <f t="shared" si="3"/>
        <v>176207</v>
      </c>
      <c r="K36" s="28">
        <f>1/(1+'Economic Inputs Parameters'!$B$5)^(A36)</f>
        <v>0.7675867156</v>
      </c>
      <c r="L36" s="28">
        <f t="shared" si="4"/>
        <v>135254.1524</v>
      </c>
      <c r="M36" s="60">
        <f t="shared" si="6"/>
        <v>-9497683.29</v>
      </c>
    </row>
    <row r="37" ht="12.75" customHeight="1">
      <c r="A37" s="49">
        <f t="shared" si="5"/>
        <v>33</v>
      </c>
      <c r="B37" s="28">
        <f>DCA_Forecast_Model!G38</f>
        <v>40889</v>
      </c>
      <c r="C37" s="28">
        <f>DCA_Forecast_Model!H38</f>
        <v>457</v>
      </c>
      <c r="D37" s="29">
        <f>B37*'Economic Inputs Parameters'!$B$2</f>
        <v>122667</v>
      </c>
      <c r="E37" s="29">
        <f>C37*'Economic Inputs Parameters'!$B$3</f>
        <v>31990</v>
      </c>
      <c r="F37" s="29">
        <f t="shared" si="1"/>
        <v>154657</v>
      </c>
      <c r="G37" s="28">
        <f>'Economic Inputs Parameters'!$B$4</f>
        <v>3000</v>
      </c>
      <c r="H37" s="28">
        <f t="shared" si="2"/>
        <v>151657</v>
      </c>
      <c r="I37" s="29">
        <v>0.0</v>
      </c>
      <c r="J37" s="28">
        <f t="shared" si="3"/>
        <v>151657</v>
      </c>
      <c r="K37" s="28">
        <f>1/(1+'Economic Inputs Parameters'!$B$5)^(A37)</f>
        <v>0.7612681897</v>
      </c>
      <c r="L37" s="28">
        <f t="shared" si="4"/>
        <v>115451.6498</v>
      </c>
      <c r="M37" s="60">
        <f t="shared" si="6"/>
        <v>-9382231.64</v>
      </c>
    </row>
    <row r="38" ht="12.75" customHeight="1">
      <c r="A38" s="49">
        <f t="shared" si="5"/>
        <v>34</v>
      </c>
      <c r="B38" s="28">
        <f>DCA_Forecast_Model!G39</f>
        <v>29559</v>
      </c>
      <c r="C38" s="28">
        <f>DCA_Forecast_Model!H39</f>
        <v>326</v>
      </c>
      <c r="D38" s="29">
        <f>B38*'Economic Inputs Parameters'!$B$2</f>
        <v>88677</v>
      </c>
      <c r="E38" s="29">
        <f>C38*'Economic Inputs Parameters'!$B$3</f>
        <v>22820</v>
      </c>
      <c r="F38" s="29">
        <f t="shared" si="1"/>
        <v>111497</v>
      </c>
      <c r="G38" s="28">
        <f>'Economic Inputs Parameters'!$B$4</f>
        <v>3000</v>
      </c>
      <c r="H38" s="28">
        <f t="shared" si="2"/>
        <v>108497</v>
      </c>
      <c r="I38" s="29">
        <v>0.0</v>
      </c>
      <c r="J38" s="28">
        <f t="shared" si="3"/>
        <v>108497</v>
      </c>
      <c r="K38" s="28">
        <f>1/(1+'Economic Inputs Parameters'!$B$5)^(A38)</f>
        <v>0.7550016758</v>
      </c>
      <c r="L38" s="28">
        <f t="shared" si="4"/>
        <v>81915.41682</v>
      </c>
      <c r="M38" s="60">
        <f t="shared" si="6"/>
        <v>-9300316.223</v>
      </c>
    </row>
    <row r="39" ht="12.75" customHeight="1">
      <c r="A39" s="49">
        <f t="shared" si="5"/>
        <v>35</v>
      </c>
      <c r="B39" s="28">
        <f>DCA_Forecast_Model!G40</f>
        <v>25965</v>
      </c>
      <c r="C39" s="28">
        <f>DCA_Forecast_Model!H40</f>
        <v>257</v>
      </c>
      <c r="D39" s="29">
        <f>B39*'Economic Inputs Parameters'!$B$2</f>
        <v>77895</v>
      </c>
      <c r="E39" s="29">
        <f>C39*'Economic Inputs Parameters'!$B$3</f>
        <v>17990</v>
      </c>
      <c r="F39" s="29">
        <f t="shared" si="1"/>
        <v>95885</v>
      </c>
      <c r="G39" s="28">
        <f>'Economic Inputs Parameters'!$B$4</f>
        <v>3000</v>
      </c>
      <c r="H39" s="28">
        <f t="shared" si="2"/>
        <v>92885</v>
      </c>
      <c r="I39" s="29">
        <v>0.0</v>
      </c>
      <c r="J39" s="28">
        <f t="shared" si="3"/>
        <v>92885</v>
      </c>
      <c r="K39" s="28">
        <f>1/(1+'Economic Inputs Parameters'!$B$5)^(A39)</f>
        <v>0.7487867458</v>
      </c>
      <c r="L39" s="28">
        <f t="shared" si="4"/>
        <v>69551.05688</v>
      </c>
      <c r="M39" s="60">
        <f t="shared" si="6"/>
        <v>-9230765.167</v>
      </c>
    </row>
    <row r="40" ht="12.75" customHeight="1">
      <c r="A40" s="49">
        <f t="shared" si="5"/>
        <v>36</v>
      </c>
      <c r="B40" s="28">
        <f>DCA_Forecast_Model!G41</f>
        <v>49752</v>
      </c>
      <c r="C40" s="28">
        <f>DCA_Forecast_Model!H41</f>
        <v>1117</v>
      </c>
      <c r="D40" s="29">
        <f>B40*'Economic Inputs Parameters'!$B$2</f>
        <v>149256</v>
      </c>
      <c r="E40" s="29">
        <f>C40*'Economic Inputs Parameters'!$B$3</f>
        <v>78190</v>
      </c>
      <c r="F40" s="29">
        <f t="shared" si="1"/>
        <v>227446</v>
      </c>
      <c r="G40" s="28">
        <f>'Economic Inputs Parameters'!$B$4</f>
        <v>3000</v>
      </c>
      <c r="H40" s="28">
        <f t="shared" si="2"/>
        <v>224446</v>
      </c>
      <c r="I40" s="29">
        <v>0.0</v>
      </c>
      <c r="J40" s="28">
        <f t="shared" si="3"/>
        <v>224446</v>
      </c>
      <c r="K40" s="28">
        <f>1/(1+'Economic Inputs Parameters'!$B$5)^(A40)</f>
        <v>0.7426229751</v>
      </c>
      <c r="L40" s="28">
        <f t="shared" si="4"/>
        <v>166678.7563</v>
      </c>
      <c r="M40" s="60">
        <f t="shared" si="6"/>
        <v>-9064086.41</v>
      </c>
    </row>
    <row r="41" ht="12.75" customHeight="1">
      <c r="A41" s="49">
        <f t="shared" si="5"/>
        <v>37</v>
      </c>
      <c r="B41" s="28">
        <f>DCA_Forecast_Model!G42</f>
        <v>25172</v>
      </c>
      <c r="C41" s="28">
        <f>DCA_Forecast_Model!H42</f>
        <v>298</v>
      </c>
      <c r="D41" s="29">
        <f>B41*'Economic Inputs Parameters'!$B$2</f>
        <v>75516</v>
      </c>
      <c r="E41" s="29">
        <f>C41*'Economic Inputs Parameters'!$B$3</f>
        <v>20860</v>
      </c>
      <c r="F41" s="29">
        <f t="shared" si="1"/>
        <v>96376</v>
      </c>
      <c r="G41" s="28">
        <f>'Economic Inputs Parameters'!$B$4</f>
        <v>3000</v>
      </c>
      <c r="H41" s="28">
        <f t="shared" si="2"/>
        <v>93376</v>
      </c>
      <c r="I41" s="29">
        <v>0.0</v>
      </c>
      <c r="J41" s="28">
        <f t="shared" si="3"/>
        <v>93376</v>
      </c>
      <c r="K41" s="28">
        <f>1/(1+'Economic Inputs Parameters'!$B$5)^(A41)</f>
        <v>0.7365099426</v>
      </c>
      <c r="L41" s="28">
        <f t="shared" si="4"/>
        <v>68772.3524</v>
      </c>
      <c r="M41" s="60">
        <f t="shared" si="6"/>
        <v>-8995314.058</v>
      </c>
    </row>
    <row r="42" ht="12.75" customHeight="1">
      <c r="A42" s="49">
        <f t="shared" si="5"/>
        <v>38</v>
      </c>
      <c r="B42" s="28">
        <f>DCA_Forecast_Model!G43</f>
        <v>13673</v>
      </c>
      <c r="C42" s="28">
        <f>DCA_Forecast_Model!H43</f>
        <v>146</v>
      </c>
      <c r="D42" s="29">
        <f>B42*'Economic Inputs Parameters'!$B$2</f>
        <v>41019</v>
      </c>
      <c r="E42" s="29">
        <f>C42*'Economic Inputs Parameters'!$B$3</f>
        <v>10220</v>
      </c>
      <c r="F42" s="29">
        <f t="shared" si="1"/>
        <v>51239</v>
      </c>
      <c r="G42" s="28">
        <f>'Economic Inputs Parameters'!$B$4</f>
        <v>3000</v>
      </c>
      <c r="H42" s="28">
        <f t="shared" si="2"/>
        <v>48239</v>
      </c>
      <c r="I42" s="29">
        <v>0.0</v>
      </c>
      <c r="J42" s="28">
        <f t="shared" si="3"/>
        <v>48239</v>
      </c>
      <c r="K42" s="28">
        <f>1/(1+'Economic Inputs Parameters'!$B$5)^(A42)</f>
        <v>0.7304472305</v>
      </c>
      <c r="L42" s="28">
        <f t="shared" si="4"/>
        <v>35236.04395</v>
      </c>
      <c r="M42" s="60">
        <f t="shared" si="6"/>
        <v>-8960078.014</v>
      </c>
    </row>
    <row r="43" ht="12.75" customHeight="1">
      <c r="A43" s="49">
        <f t="shared" si="5"/>
        <v>39</v>
      </c>
      <c r="B43" s="28">
        <f>DCA_Forecast_Model!G44</f>
        <v>30310</v>
      </c>
      <c r="C43" s="28">
        <f>DCA_Forecast_Model!H44</f>
        <v>347</v>
      </c>
      <c r="D43" s="29">
        <f>B43*'Economic Inputs Parameters'!$B$2</f>
        <v>90930</v>
      </c>
      <c r="E43" s="29">
        <f>C43*'Economic Inputs Parameters'!$B$3</f>
        <v>24290</v>
      </c>
      <c r="F43" s="29">
        <f t="shared" si="1"/>
        <v>115220</v>
      </c>
      <c r="G43" s="28">
        <f>'Economic Inputs Parameters'!$B$4</f>
        <v>3000</v>
      </c>
      <c r="H43" s="28">
        <f t="shared" si="2"/>
        <v>112220</v>
      </c>
      <c r="I43" s="29">
        <v>0.0</v>
      </c>
      <c r="J43" s="28">
        <f t="shared" si="3"/>
        <v>112220</v>
      </c>
      <c r="K43" s="28">
        <f>1/(1+'Economic Inputs Parameters'!$B$5)^(A43)</f>
        <v>0.7244344248</v>
      </c>
      <c r="L43" s="28">
        <f t="shared" si="4"/>
        <v>81296.03115</v>
      </c>
      <c r="M43" s="60">
        <f t="shared" si="6"/>
        <v>-8878781.983</v>
      </c>
    </row>
    <row r="44" ht="12.75" customHeight="1">
      <c r="A44" s="49">
        <f t="shared" si="5"/>
        <v>40</v>
      </c>
      <c r="B44" s="28">
        <f>DCA_Forecast_Model!G45</f>
        <v>29722</v>
      </c>
      <c r="C44" s="28">
        <f>DCA_Forecast_Model!H45</f>
        <v>341</v>
      </c>
      <c r="D44" s="29">
        <f>B44*'Economic Inputs Parameters'!$B$2</f>
        <v>89166</v>
      </c>
      <c r="E44" s="29">
        <f>C44*'Economic Inputs Parameters'!$B$3</f>
        <v>23870</v>
      </c>
      <c r="F44" s="29">
        <f t="shared" si="1"/>
        <v>113036</v>
      </c>
      <c r="G44" s="28">
        <f>'Economic Inputs Parameters'!$B$4</f>
        <v>3000</v>
      </c>
      <c r="H44" s="28">
        <f t="shared" si="2"/>
        <v>110036</v>
      </c>
      <c r="I44" s="29">
        <v>0.0</v>
      </c>
      <c r="J44" s="28">
        <f t="shared" si="3"/>
        <v>110036</v>
      </c>
      <c r="K44" s="28">
        <f>1/(1+'Economic Inputs Parameters'!$B$5)^(A44)</f>
        <v>0.7184711146</v>
      </c>
      <c r="L44" s="28">
        <f t="shared" si="4"/>
        <v>79057.68756</v>
      </c>
      <c r="M44" s="60">
        <f t="shared" si="6"/>
        <v>-8799724.295</v>
      </c>
    </row>
    <row r="45" ht="12.75" customHeight="1">
      <c r="A45" s="49">
        <f t="shared" si="5"/>
        <v>41</v>
      </c>
      <c r="B45" s="28">
        <f>DCA_Forecast_Model!G46</f>
        <v>28809</v>
      </c>
      <c r="C45" s="28">
        <f>DCA_Forecast_Model!H46</f>
        <v>378</v>
      </c>
      <c r="D45" s="29">
        <f>B45*'Economic Inputs Parameters'!$B$2</f>
        <v>86427</v>
      </c>
      <c r="E45" s="29">
        <f>C45*'Economic Inputs Parameters'!$B$3</f>
        <v>26460</v>
      </c>
      <c r="F45" s="29">
        <f t="shared" si="1"/>
        <v>112887</v>
      </c>
      <c r="G45" s="28">
        <f>'Economic Inputs Parameters'!$B$4</f>
        <v>3000</v>
      </c>
      <c r="H45" s="28">
        <f t="shared" si="2"/>
        <v>109887</v>
      </c>
      <c r="I45" s="29">
        <v>0.0</v>
      </c>
      <c r="J45" s="28">
        <f t="shared" si="3"/>
        <v>109887</v>
      </c>
      <c r="K45" s="28">
        <f>1/(1+'Economic Inputs Parameters'!$B$5)^(A45)</f>
        <v>0.7125568924</v>
      </c>
      <c r="L45" s="28">
        <f t="shared" si="4"/>
        <v>78300.73923</v>
      </c>
      <c r="M45" s="60">
        <f t="shared" si="6"/>
        <v>-8721423.556</v>
      </c>
    </row>
    <row r="46" ht="12.75" customHeight="1">
      <c r="A46" s="49">
        <f t="shared" si="5"/>
        <v>42</v>
      </c>
      <c r="B46" s="28">
        <f>DCA_Forecast_Model!G47</f>
        <v>26882</v>
      </c>
      <c r="C46" s="28">
        <f>DCA_Forecast_Model!H47</f>
        <v>512</v>
      </c>
      <c r="D46" s="29">
        <f>B46*'Economic Inputs Parameters'!$B$2</f>
        <v>80646</v>
      </c>
      <c r="E46" s="29">
        <f>C46*'Economic Inputs Parameters'!$B$3</f>
        <v>35840</v>
      </c>
      <c r="F46" s="29">
        <f t="shared" si="1"/>
        <v>116486</v>
      </c>
      <c r="G46" s="28">
        <f>'Economic Inputs Parameters'!$B$4</f>
        <v>3000</v>
      </c>
      <c r="H46" s="28">
        <f t="shared" si="2"/>
        <v>113486</v>
      </c>
      <c r="I46" s="29">
        <v>0.0</v>
      </c>
      <c r="J46" s="28">
        <f t="shared" si="3"/>
        <v>113486</v>
      </c>
      <c r="K46" s="28">
        <f>1/(1+'Economic Inputs Parameters'!$B$5)^(A46)</f>
        <v>0.7066913541</v>
      </c>
      <c r="L46" s="28">
        <f t="shared" si="4"/>
        <v>80199.57501</v>
      </c>
      <c r="M46" s="60">
        <f t="shared" si="6"/>
        <v>-8641223.981</v>
      </c>
    </row>
    <row r="47" ht="12.75" customHeight="1">
      <c r="A47" s="49">
        <f t="shared" si="5"/>
        <v>43</v>
      </c>
      <c r="B47" s="28">
        <f>DCA_Forecast_Model!G48</f>
        <v>30216</v>
      </c>
      <c r="C47" s="28">
        <f>DCA_Forecast_Model!H48</f>
        <v>657</v>
      </c>
      <c r="D47" s="29">
        <f>B47*'Economic Inputs Parameters'!$B$2</f>
        <v>90648</v>
      </c>
      <c r="E47" s="29">
        <f>C47*'Economic Inputs Parameters'!$B$3</f>
        <v>45990</v>
      </c>
      <c r="F47" s="29">
        <f t="shared" si="1"/>
        <v>136638</v>
      </c>
      <c r="G47" s="28">
        <f>'Economic Inputs Parameters'!$B$4</f>
        <v>3000</v>
      </c>
      <c r="H47" s="28">
        <f t="shared" si="2"/>
        <v>133638</v>
      </c>
      <c r="I47" s="29">
        <v>0.0</v>
      </c>
      <c r="J47" s="28">
        <f t="shared" si="3"/>
        <v>133638</v>
      </c>
      <c r="K47" s="28">
        <f>1/(1+'Economic Inputs Parameters'!$B$5)^(A47)</f>
        <v>0.7008740991</v>
      </c>
      <c r="L47" s="28">
        <f t="shared" si="4"/>
        <v>93663.41286</v>
      </c>
      <c r="M47" s="60">
        <f t="shared" si="6"/>
        <v>-8547560.568</v>
      </c>
    </row>
    <row r="48" ht="12.75" customHeight="1">
      <c r="A48" s="49">
        <f t="shared" si="5"/>
        <v>44</v>
      </c>
      <c r="B48" s="28">
        <f>DCA_Forecast_Model!G49</f>
        <v>28903</v>
      </c>
      <c r="C48" s="28">
        <f>DCA_Forecast_Model!H49</f>
        <v>471</v>
      </c>
      <c r="D48" s="29">
        <f>B48*'Economic Inputs Parameters'!$B$2</f>
        <v>86709</v>
      </c>
      <c r="E48" s="29">
        <f>C48*'Economic Inputs Parameters'!$B$3</f>
        <v>32970</v>
      </c>
      <c r="F48" s="29">
        <f t="shared" si="1"/>
        <v>119679</v>
      </c>
      <c r="G48" s="28">
        <f>'Economic Inputs Parameters'!$B$4</f>
        <v>3000</v>
      </c>
      <c r="H48" s="28">
        <f t="shared" si="2"/>
        <v>116679</v>
      </c>
      <c r="I48" s="29">
        <v>0.0</v>
      </c>
      <c r="J48" s="28">
        <f t="shared" si="3"/>
        <v>116679</v>
      </c>
      <c r="K48" s="28">
        <f>1/(1+'Economic Inputs Parameters'!$B$5)^(A48)</f>
        <v>0.6951047298</v>
      </c>
      <c r="L48" s="28">
        <f t="shared" si="4"/>
        <v>81104.12477</v>
      </c>
      <c r="M48" s="60">
        <f t="shared" si="6"/>
        <v>-8466456.443</v>
      </c>
    </row>
    <row r="49" ht="12.75" customHeight="1">
      <c r="A49" s="49">
        <f t="shared" si="5"/>
        <v>45</v>
      </c>
      <c r="B49" s="28">
        <f>DCA_Forecast_Model!G50</f>
        <v>29560</v>
      </c>
      <c r="C49" s="28">
        <f>DCA_Forecast_Model!H50</f>
        <v>432</v>
      </c>
      <c r="D49" s="29">
        <f>B49*'Economic Inputs Parameters'!$B$2</f>
        <v>88680</v>
      </c>
      <c r="E49" s="29">
        <f>C49*'Economic Inputs Parameters'!$B$3</f>
        <v>30240</v>
      </c>
      <c r="F49" s="29">
        <f t="shared" si="1"/>
        <v>118920</v>
      </c>
      <c r="G49" s="28">
        <f>'Economic Inputs Parameters'!$B$4</f>
        <v>3000</v>
      </c>
      <c r="H49" s="28">
        <f t="shared" si="2"/>
        <v>115920</v>
      </c>
      <c r="I49" s="29">
        <v>0.0</v>
      </c>
      <c r="J49" s="28">
        <f t="shared" si="3"/>
        <v>115920</v>
      </c>
      <c r="K49" s="28">
        <f>1/(1+'Economic Inputs Parameters'!$B$5)^(A49)</f>
        <v>0.6893828522</v>
      </c>
      <c r="L49" s="28">
        <f t="shared" si="4"/>
        <v>79913.26022</v>
      </c>
      <c r="M49" s="60">
        <f t="shared" si="6"/>
        <v>-8386543.183</v>
      </c>
    </row>
    <row r="50" ht="12.75" customHeight="1">
      <c r="A50" s="49">
        <f t="shared" si="5"/>
        <v>46</v>
      </c>
      <c r="B50" s="28">
        <f>DCA_Forecast_Model!G51</f>
        <v>28767</v>
      </c>
      <c r="C50" s="28">
        <f>DCA_Forecast_Model!H51</f>
        <v>438</v>
      </c>
      <c r="D50" s="29">
        <f>B50*'Economic Inputs Parameters'!$B$2</f>
        <v>86301</v>
      </c>
      <c r="E50" s="29">
        <f>C50*'Economic Inputs Parameters'!$B$3</f>
        <v>30660</v>
      </c>
      <c r="F50" s="29">
        <f t="shared" si="1"/>
        <v>116961</v>
      </c>
      <c r="G50" s="28">
        <f>'Economic Inputs Parameters'!$B$4</f>
        <v>3000</v>
      </c>
      <c r="H50" s="28">
        <f t="shared" si="2"/>
        <v>113961</v>
      </c>
      <c r="I50" s="29">
        <v>0.0</v>
      </c>
      <c r="J50" s="28">
        <f t="shared" si="3"/>
        <v>113961</v>
      </c>
      <c r="K50" s="28">
        <f>1/(1+'Economic Inputs Parameters'!$B$5)^(A50)</f>
        <v>0.6837080751</v>
      </c>
      <c r="L50" s="28">
        <f t="shared" si="4"/>
        <v>77916.05595</v>
      </c>
      <c r="M50" s="60">
        <f t="shared" si="6"/>
        <v>-8308627.127</v>
      </c>
    </row>
    <row r="51" ht="12.75" customHeight="1">
      <c r="A51" s="49">
        <f t="shared" si="5"/>
        <v>47</v>
      </c>
      <c r="B51" s="28">
        <f>DCA_Forecast_Model!G52</f>
        <v>23740</v>
      </c>
      <c r="C51" s="28">
        <f>DCA_Forecast_Model!H52</f>
        <v>425</v>
      </c>
      <c r="D51" s="29">
        <f>B51*'Economic Inputs Parameters'!$B$2</f>
        <v>71220</v>
      </c>
      <c r="E51" s="29">
        <f>C51*'Economic Inputs Parameters'!$B$3</f>
        <v>29750</v>
      </c>
      <c r="F51" s="29">
        <f t="shared" si="1"/>
        <v>100970</v>
      </c>
      <c r="G51" s="28">
        <f>'Economic Inputs Parameters'!$B$4</f>
        <v>3000</v>
      </c>
      <c r="H51" s="28">
        <f t="shared" si="2"/>
        <v>97970</v>
      </c>
      <c r="I51" s="29">
        <v>0.0</v>
      </c>
      <c r="J51" s="28">
        <f t="shared" si="3"/>
        <v>97970</v>
      </c>
      <c r="K51" s="28">
        <f>1/(1+'Economic Inputs Parameters'!$B$5)^(A51)</f>
        <v>0.6780800111</v>
      </c>
      <c r="L51" s="28">
        <f t="shared" si="4"/>
        <v>66431.49868</v>
      </c>
      <c r="M51" s="60">
        <f t="shared" si="6"/>
        <v>-8242195.629</v>
      </c>
    </row>
    <row r="52" ht="12.75" customHeight="1">
      <c r="A52" s="49">
        <f t="shared" si="5"/>
        <v>48</v>
      </c>
      <c r="B52" s="28">
        <f>DCA_Forecast_Model!G53</f>
        <v>24295</v>
      </c>
      <c r="C52" s="28">
        <f>DCA_Forecast_Model!H53</f>
        <v>364</v>
      </c>
      <c r="D52" s="29">
        <f>B52*'Economic Inputs Parameters'!$B$2</f>
        <v>72885</v>
      </c>
      <c r="E52" s="29">
        <f>C52*'Economic Inputs Parameters'!$B$3</f>
        <v>25480</v>
      </c>
      <c r="F52" s="29">
        <f t="shared" si="1"/>
        <v>98365</v>
      </c>
      <c r="G52" s="28">
        <f>'Economic Inputs Parameters'!$B$4</f>
        <v>3000</v>
      </c>
      <c r="H52" s="28">
        <f t="shared" si="2"/>
        <v>95365</v>
      </c>
      <c r="I52" s="29">
        <v>0.0</v>
      </c>
      <c r="J52" s="28">
        <f t="shared" si="3"/>
        <v>95365</v>
      </c>
      <c r="K52" s="28">
        <f>1/(1+'Economic Inputs Parameters'!$B$5)^(A52)</f>
        <v>0.6724982754</v>
      </c>
      <c r="L52" s="28">
        <f t="shared" si="4"/>
        <v>64132.79803</v>
      </c>
      <c r="M52" s="60">
        <f t="shared" si="6"/>
        <v>-8178062.831</v>
      </c>
    </row>
    <row r="53" ht="12.75" customHeight="1">
      <c r="A53" s="49">
        <f t="shared" si="5"/>
        <v>49</v>
      </c>
      <c r="B53" s="28">
        <f>DCA_Forecast_Model!G54</f>
        <v>27162</v>
      </c>
      <c r="C53" s="28">
        <f>DCA_Forecast_Model!H54</f>
        <v>383</v>
      </c>
      <c r="D53" s="29">
        <f>B53*'Economic Inputs Parameters'!$B$2</f>
        <v>81486</v>
      </c>
      <c r="E53" s="29">
        <f>C53*'Economic Inputs Parameters'!$B$3</f>
        <v>26810</v>
      </c>
      <c r="F53" s="29">
        <f t="shared" si="1"/>
        <v>108296</v>
      </c>
      <c r="G53" s="28">
        <f>'Economic Inputs Parameters'!$B$4</f>
        <v>3000</v>
      </c>
      <c r="H53" s="28">
        <f t="shared" si="2"/>
        <v>105296</v>
      </c>
      <c r="I53" s="29">
        <v>0.0</v>
      </c>
      <c r="J53" s="28">
        <f t="shared" si="3"/>
        <v>105296</v>
      </c>
      <c r="K53" s="28">
        <f>1/(1+'Economic Inputs Parameters'!$B$5)^(A53)</f>
        <v>0.6669624867</v>
      </c>
      <c r="L53" s="28">
        <f t="shared" si="4"/>
        <v>70228.482</v>
      </c>
      <c r="M53" s="60">
        <f t="shared" si="6"/>
        <v>-8107834.349</v>
      </c>
    </row>
    <row r="54" ht="12.75" customHeight="1">
      <c r="A54" s="49">
        <f t="shared" si="5"/>
        <v>50</v>
      </c>
      <c r="B54" s="28">
        <f>DCA_Forecast_Model!G55</f>
        <v>17826</v>
      </c>
      <c r="C54" s="28">
        <f>DCA_Forecast_Model!H55</f>
        <v>452</v>
      </c>
      <c r="D54" s="29">
        <f>B54*'Economic Inputs Parameters'!$B$2</f>
        <v>53478</v>
      </c>
      <c r="E54" s="29">
        <f>C54*'Economic Inputs Parameters'!$B$3</f>
        <v>31640</v>
      </c>
      <c r="F54" s="29">
        <f t="shared" si="1"/>
        <v>85118</v>
      </c>
      <c r="G54" s="28">
        <f>'Economic Inputs Parameters'!$B$4</f>
        <v>3000</v>
      </c>
      <c r="H54" s="28">
        <f t="shared" si="2"/>
        <v>82118</v>
      </c>
      <c r="I54" s="29">
        <v>0.0</v>
      </c>
      <c r="J54" s="28">
        <f t="shared" si="3"/>
        <v>82118</v>
      </c>
      <c r="K54" s="28">
        <f>1/(1+'Economic Inputs Parameters'!$B$5)^(A54)</f>
        <v>0.6614722669</v>
      </c>
      <c r="L54" s="28">
        <f t="shared" si="4"/>
        <v>54318.77961</v>
      </c>
      <c r="M54" s="60">
        <f t="shared" si="6"/>
        <v>-8053515.569</v>
      </c>
    </row>
    <row r="55" ht="12.75" customHeight="1">
      <c r="A55" s="49">
        <f t="shared" si="5"/>
        <v>51</v>
      </c>
      <c r="B55" s="28">
        <f>DCA_Forecast_Model!G56</f>
        <v>21407</v>
      </c>
      <c r="C55" s="28">
        <f>DCA_Forecast_Model!H56</f>
        <v>328</v>
      </c>
      <c r="D55" s="29">
        <f>B55*'Economic Inputs Parameters'!$B$2</f>
        <v>64221</v>
      </c>
      <c r="E55" s="29">
        <f>C55*'Economic Inputs Parameters'!$B$3</f>
        <v>22960</v>
      </c>
      <c r="F55" s="29">
        <f t="shared" si="1"/>
        <v>87181</v>
      </c>
      <c r="G55" s="28">
        <f>'Economic Inputs Parameters'!$B$4</f>
        <v>3000</v>
      </c>
      <c r="H55" s="28">
        <f t="shared" si="2"/>
        <v>84181</v>
      </c>
      <c r="I55" s="29">
        <v>0.0</v>
      </c>
      <c r="J55" s="28">
        <f t="shared" si="3"/>
        <v>84181</v>
      </c>
      <c r="K55" s="28">
        <f>1/(1+'Economic Inputs Parameters'!$B$5)^(A55)</f>
        <v>0.6560272408</v>
      </c>
      <c r="L55" s="28">
        <f t="shared" si="4"/>
        <v>55225.02916</v>
      </c>
      <c r="M55" s="60">
        <f t="shared" si="6"/>
        <v>-7998290.54</v>
      </c>
    </row>
    <row r="56" ht="12.75" customHeight="1">
      <c r="A56" s="49">
        <f t="shared" si="5"/>
        <v>52</v>
      </c>
      <c r="B56" s="28">
        <f>DCA_Forecast_Model!G57</f>
        <v>26011</v>
      </c>
      <c r="C56" s="28">
        <f>DCA_Forecast_Model!H57</f>
        <v>506</v>
      </c>
      <c r="D56" s="29">
        <f>B56*'Economic Inputs Parameters'!$B$2</f>
        <v>78033</v>
      </c>
      <c r="E56" s="29">
        <f>C56*'Economic Inputs Parameters'!$B$3</f>
        <v>35420</v>
      </c>
      <c r="F56" s="29">
        <f t="shared" si="1"/>
        <v>113453</v>
      </c>
      <c r="G56" s="28">
        <f>'Economic Inputs Parameters'!$B$4</f>
        <v>3000</v>
      </c>
      <c r="H56" s="28">
        <f t="shared" si="2"/>
        <v>110453</v>
      </c>
      <c r="I56" s="29">
        <v>0.0</v>
      </c>
      <c r="J56" s="28">
        <f t="shared" si="3"/>
        <v>110453</v>
      </c>
      <c r="K56" s="28">
        <f>1/(1+'Economic Inputs Parameters'!$B$5)^(A56)</f>
        <v>0.6506270364</v>
      </c>
      <c r="L56" s="28">
        <f t="shared" si="4"/>
        <v>71863.70805</v>
      </c>
      <c r="M56" s="60">
        <f t="shared" si="6"/>
        <v>-7926426.832</v>
      </c>
    </row>
    <row r="57" ht="12.75" customHeight="1">
      <c r="A57" s="49">
        <f t="shared" si="5"/>
        <v>53</v>
      </c>
      <c r="B57" s="28">
        <f>DCA_Forecast_Model!G58</f>
        <v>33151</v>
      </c>
      <c r="C57" s="28">
        <f>DCA_Forecast_Model!H58</f>
        <v>791</v>
      </c>
      <c r="D57" s="29">
        <f>B57*'Economic Inputs Parameters'!$B$2</f>
        <v>99453</v>
      </c>
      <c r="E57" s="29">
        <f>C57*'Economic Inputs Parameters'!$B$3</f>
        <v>55370</v>
      </c>
      <c r="F57" s="29">
        <f t="shared" si="1"/>
        <v>154823</v>
      </c>
      <c r="G57" s="28">
        <f>'Economic Inputs Parameters'!$B$4</f>
        <v>3000</v>
      </c>
      <c r="H57" s="28">
        <f t="shared" si="2"/>
        <v>151823</v>
      </c>
      <c r="I57" s="29">
        <v>0.0</v>
      </c>
      <c r="J57" s="28">
        <f t="shared" si="3"/>
        <v>151823</v>
      </c>
      <c r="K57" s="28">
        <f>1/(1+'Economic Inputs Parameters'!$B$5)^(A57)</f>
        <v>0.6452712847</v>
      </c>
      <c r="L57" s="28">
        <f t="shared" si="4"/>
        <v>97967.02226</v>
      </c>
      <c r="M57" s="60">
        <f t="shared" si="6"/>
        <v>-7828459.809</v>
      </c>
    </row>
    <row r="58" ht="12.75" customHeight="1">
      <c r="A58" s="49">
        <f t="shared" si="5"/>
        <v>54</v>
      </c>
      <c r="B58" s="28">
        <f>DCA_Forecast_Model!G59</f>
        <v>28706</v>
      </c>
      <c r="C58" s="28">
        <f>DCA_Forecast_Model!H59</f>
        <v>539</v>
      </c>
      <c r="D58" s="29">
        <f>B58*'Economic Inputs Parameters'!$B$2</f>
        <v>86118</v>
      </c>
      <c r="E58" s="29">
        <f>C58*'Economic Inputs Parameters'!$B$3</f>
        <v>37730</v>
      </c>
      <c r="F58" s="29">
        <f t="shared" si="1"/>
        <v>123848</v>
      </c>
      <c r="G58" s="28">
        <f>'Economic Inputs Parameters'!$B$4</f>
        <v>3000</v>
      </c>
      <c r="H58" s="28">
        <f t="shared" si="2"/>
        <v>120848</v>
      </c>
      <c r="I58" s="29">
        <v>0.0</v>
      </c>
      <c r="J58" s="28">
        <f t="shared" si="3"/>
        <v>120848</v>
      </c>
      <c r="K58" s="28">
        <f>1/(1+'Economic Inputs Parameters'!$B$5)^(A58)</f>
        <v>0.6399596199</v>
      </c>
      <c r="L58" s="28">
        <f t="shared" si="4"/>
        <v>77337.84015</v>
      </c>
      <c r="M58" s="60">
        <f t="shared" si="6"/>
        <v>-7751121.969</v>
      </c>
    </row>
    <row r="59" ht="12.75" customHeight="1">
      <c r="A59" s="49">
        <f t="shared" si="5"/>
        <v>55</v>
      </c>
      <c r="B59" s="28">
        <f>DCA_Forecast_Model!G60</f>
        <v>22842</v>
      </c>
      <c r="C59" s="28">
        <f>DCA_Forecast_Model!H60</f>
        <v>743</v>
      </c>
      <c r="D59" s="29">
        <f>B59*'Economic Inputs Parameters'!$B$2</f>
        <v>68526</v>
      </c>
      <c r="E59" s="29">
        <f>C59*'Economic Inputs Parameters'!$B$3</f>
        <v>52010</v>
      </c>
      <c r="F59" s="29">
        <f t="shared" si="1"/>
        <v>120536</v>
      </c>
      <c r="G59" s="28">
        <f>'Economic Inputs Parameters'!$B$4</f>
        <v>3000</v>
      </c>
      <c r="H59" s="28">
        <f t="shared" si="2"/>
        <v>117536</v>
      </c>
      <c r="I59" s="29">
        <v>0.0</v>
      </c>
      <c r="J59" s="28">
        <f t="shared" si="3"/>
        <v>117536</v>
      </c>
      <c r="K59" s="28">
        <f>1/(1+'Economic Inputs Parameters'!$B$5)^(A59)</f>
        <v>0.634691679</v>
      </c>
      <c r="L59" s="28">
        <f t="shared" si="4"/>
        <v>74599.12118</v>
      </c>
      <c r="M59" s="60">
        <f t="shared" si="6"/>
        <v>-7676522.848</v>
      </c>
    </row>
    <row r="60" ht="12.75" customHeight="1">
      <c r="A60" s="49">
        <f t="shared" si="5"/>
        <v>56</v>
      </c>
      <c r="B60" s="28">
        <f>DCA_Forecast_Model!G61</f>
        <v>26201</v>
      </c>
      <c r="C60" s="28">
        <f>DCA_Forecast_Model!H61</f>
        <v>1079</v>
      </c>
      <c r="D60" s="29">
        <f>B60*'Economic Inputs Parameters'!$B$2</f>
        <v>78603</v>
      </c>
      <c r="E60" s="29">
        <f>C60*'Economic Inputs Parameters'!$B$3</f>
        <v>75530</v>
      </c>
      <c r="F60" s="29">
        <f t="shared" si="1"/>
        <v>154133</v>
      </c>
      <c r="G60" s="28">
        <f>'Economic Inputs Parameters'!$B$4</f>
        <v>3000</v>
      </c>
      <c r="H60" s="28">
        <f t="shared" si="2"/>
        <v>151133</v>
      </c>
      <c r="I60" s="29">
        <v>0.0</v>
      </c>
      <c r="J60" s="28">
        <f t="shared" si="3"/>
        <v>151133</v>
      </c>
      <c r="K60" s="28">
        <f>1/(1+'Economic Inputs Parameters'!$B$5)^(A60)</f>
        <v>0.629467102</v>
      </c>
      <c r="L60" s="28">
        <f t="shared" si="4"/>
        <v>95133.25153</v>
      </c>
      <c r="M60" s="60">
        <f t="shared" si="6"/>
        <v>-7581389.597</v>
      </c>
    </row>
    <row r="61" ht="12.75" customHeight="1">
      <c r="A61" s="49">
        <f t="shared" si="5"/>
        <v>57</v>
      </c>
      <c r="B61" s="28">
        <f>DCA_Forecast_Model!G62</f>
        <v>20986</v>
      </c>
      <c r="C61" s="28">
        <f>DCA_Forecast_Model!H62</f>
        <v>634</v>
      </c>
      <c r="D61" s="29">
        <f>B61*'Economic Inputs Parameters'!$B$2</f>
        <v>62958</v>
      </c>
      <c r="E61" s="29">
        <f>C61*'Economic Inputs Parameters'!$B$3</f>
        <v>44380</v>
      </c>
      <c r="F61" s="29">
        <f t="shared" si="1"/>
        <v>107338</v>
      </c>
      <c r="G61" s="28">
        <f>'Economic Inputs Parameters'!$B$4</f>
        <v>3000</v>
      </c>
      <c r="H61" s="28">
        <f t="shared" si="2"/>
        <v>104338</v>
      </c>
      <c r="I61" s="29">
        <v>0.0</v>
      </c>
      <c r="J61" s="28">
        <f t="shared" si="3"/>
        <v>104338</v>
      </c>
      <c r="K61" s="28">
        <f>1/(1+'Economic Inputs Parameters'!$B$5)^(A61)</f>
        <v>0.6242855321</v>
      </c>
      <c r="L61" s="28">
        <f t="shared" si="4"/>
        <v>65136.70385</v>
      </c>
      <c r="M61" s="60">
        <f t="shared" si="6"/>
        <v>-7516252.893</v>
      </c>
    </row>
    <row r="62" ht="12.75" customHeight="1">
      <c r="A62" s="49">
        <f t="shared" si="5"/>
        <v>58</v>
      </c>
      <c r="B62" s="28">
        <f>DCA_Forecast_Model!G63</f>
        <v>21764</v>
      </c>
      <c r="C62" s="28">
        <f>DCA_Forecast_Model!H63</f>
        <v>497</v>
      </c>
      <c r="D62" s="29">
        <f>B62*'Economic Inputs Parameters'!$B$2</f>
        <v>65292</v>
      </c>
      <c r="E62" s="29">
        <f>C62*'Economic Inputs Parameters'!$B$3</f>
        <v>34790</v>
      </c>
      <c r="F62" s="29">
        <f t="shared" si="1"/>
        <v>100082</v>
      </c>
      <c r="G62" s="28">
        <f>'Economic Inputs Parameters'!$B$4</f>
        <v>3000</v>
      </c>
      <c r="H62" s="28">
        <f t="shared" si="2"/>
        <v>97082</v>
      </c>
      <c r="I62" s="29">
        <v>0.0</v>
      </c>
      <c r="J62" s="28">
        <f t="shared" si="3"/>
        <v>97082</v>
      </c>
      <c r="K62" s="28">
        <f>1/(1+'Economic Inputs Parameters'!$B$5)^(A62)</f>
        <v>0.6191466152</v>
      </c>
      <c r="L62" s="28">
        <f t="shared" si="4"/>
        <v>60107.9917</v>
      </c>
      <c r="M62" s="60">
        <f t="shared" si="6"/>
        <v>-7456144.901</v>
      </c>
    </row>
    <row r="63" ht="12.75" customHeight="1">
      <c r="A63" s="49">
        <f t="shared" si="5"/>
        <v>59</v>
      </c>
      <c r="B63" s="28">
        <f>DCA_Forecast_Model!G64</f>
        <v>23788</v>
      </c>
      <c r="C63" s="28">
        <f>DCA_Forecast_Model!H64</f>
        <v>383</v>
      </c>
      <c r="D63" s="29">
        <f>B63*'Economic Inputs Parameters'!$B$2</f>
        <v>71364</v>
      </c>
      <c r="E63" s="29">
        <f>C63*'Economic Inputs Parameters'!$B$3</f>
        <v>26810</v>
      </c>
      <c r="F63" s="29">
        <f t="shared" si="1"/>
        <v>98174</v>
      </c>
      <c r="G63" s="28">
        <f>'Economic Inputs Parameters'!$B$4</f>
        <v>3000</v>
      </c>
      <c r="H63" s="28">
        <f t="shared" si="2"/>
        <v>95174</v>
      </c>
      <c r="I63" s="29">
        <v>0.0</v>
      </c>
      <c r="J63" s="28">
        <f t="shared" si="3"/>
        <v>95174</v>
      </c>
      <c r="K63" s="28">
        <f>1/(1+'Economic Inputs Parameters'!$B$5)^(A63)</f>
        <v>0.6140500002</v>
      </c>
      <c r="L63" s="28">
        <f t="shared" si="4"/>
        <v>58441.59472</v>
      </c>
      <c r="M63" s="60">
        <f t="shared" si="6"/>
        <v>-7397703.306</v>
      </c>
    </row>
    <row r="64" ht="12.75" customHeight="1">
      <c r="A64" s="49">
        <f t="shared" si="5"/>
        <v>60</v>
      </c>
      <c r="B64" s="28">
        <f>DCA_Forecast_Model!G65</f>
        <v>19408</v>
      </c>
      <c r="C64" s="28">
        <f>DCA_Forecast_Model!H65</f>
        <v>359</v>
      </c>
      <c r="D64" s="29">
        <f>B64*'Economic Inputs Parameters'!$B$2</f>
        <v>58224</v>
      </c>
      <c r="E64" s="29">
        <f>C64*'Economic Inputs Parameters'!$B$3</f>
        <v>25130</v>
      </c>
      <c r="F64" s="29">
        <f t="shared" si="1"/>
        <v>83354</v>
      </c>
      <c r="G64" s="28">
        <f>'Economic Inputs Parameters'!$B$4</f>
        <v>3000</v>
      </c>
      <c r="H64" s="28">
        <f t="shared" si="2"/>
        <v>80354</v>
      </c>
      <c r="I64" s="29">
        <v>0.0</v>
      </c>
      <c r="J64" s="28">
        <f t="shared" si="3"/>
        <v>80354</v>
      </c>
      <c r="K64" s="28">
        <f>1/(1+'Economic Inputs Parameters'!$B$5)^(A64)</f>
        <v>0.6089953389</v>
      </c>
      <c r="L64" s="28">
        <f t="shared" si="4"/>
        <v>48935.21146</v>
      </c>
      <c r="M64" s="60">
        <f t="shared" si="6"/>
        <v>-7348768.095</v>
      </c>
    </row>
    <row r="65" ht="12.75" customHeight="1">
      <c r="A65" s="49">
        <f t="shared" si="5"/>
        <v>61</v>
      </c>
      <c r="B65" s="28">
        <f>DCA_Forecast_Model!G66</f>
        <v>20433</v>
      </c>
      <c r="C65" s="28">
        <f>DCA_Forecast_Model!H66</f>
        <v>300</v>
      </c>
      <c r="D65" s="29">
        <f>B65*'Economic Inputs Parameters'!$B$2</f>
        <v>61299</v>
      </c>
      <c r="E65" s="29">
        <f>C65*'Economic Inputs Parameters'!$B$3</f>
        <v>21000</v>
      </c>
      <c r="F65" s="29">
        <f t="shared" si="1"/>
        <v>82299</v>
      </c>
      <c r="G65" s="28">
        <f>'Economic Inputs Parameters'!$B$4</f>
        <v>3000</v>
      </c>
      <c r="H65" s="28">
        <f t="shared" si="2"/>
        <v>79299</v>
      </c>
      <c r="I65" s="29">
        <v>0.0</v>
      </c>
      <c r="J65" s="28">
        <f t="shared" si="3"/>
        <v>79299</v>
      </c>
      <c r="K65" s="28">
        <f>1/(1+'Economic Inputs Parameters'!$B$5)^(A65)</f>
        <v>0.6039822859</v>
      </c>
      <c r="L65" s="28">
        <f t="shared" si="4"/>
        <v>47895.19129</v>
      </c>
      <c r="M65" s="60">
        <f t="shared" si="6"/>
        <v>-7300872.904</v>
      </c>
    </row>
    <row r="66" ht="12.75" customHeight="1">
      <c r="A66" s="49">
        <f t="shared" si="5"/>
        <v>62</v>
      </c>
      <c r="B66" s="28">
        <f>DCA_Forecast_Model!G67</f>
        <v>14158</v>
      </c>
      <c r="C66" s="28">
        <f>DCA_Forecast_Model!H67</f>
        <v>97</v>
      </c>
      <c r="D66" s="29">
        <f>B66*'Economic Inputs Parameters'!$B$2</f>
        <v>42474</v>
      </c>
      <c r="E66" s="29">
        <f>C66*'Economic Inputs Parameters'!$B$3</f>
        <v>6790</v>
      </c>
      <c r="F66" s="29">
        <f t="shared" si="1"/>
        <v>49264</v>
      </c>
      <c r="G66" s="28">
        <f>'Economic Inputs Parameters'!$B$4</f>
        <v>3000</v>
      </c>
      <c r="H66" s="28">
        <f t="shared" si="2"/>
        <v>46264</v>
      </c>
      <c r="I66" s="29">
        <v>0.0</v>
      </c>
      <c r="J66" s="28">
        <f t="shared" si="3"/>
        <v>46264</v>
      </c>
      <c r="K66" s="28">
        <f>1/(1+'Economic Inputs Parameters'!$B$5)^(A66)</f>
        <v>0.5990104988</v>
      </c>
      <c r="L66" s="28">
        <f t="shared" si="4"/>
        <v>27712.62172</v>
      </c>
      <c r="M66" s="60">
        <f t="shared" si="6"/>
        <v>-7273160.282</v>
      </c>
    </row>
    <row r="67" ht="12.75" customHeight="1">
      <c r="A67" s="49">
        <f t="shared" si="5"/>
        <v>63</v>
      </c>
      <c r="B67" s="28">
        <f>DCA_Forecast_Model!G68</f>
        <v>19778</v>
      </c>
      <c r="C67" s="28">
        <f>DCA_Forecast_Model!H68</f>
        <v>261</v>
      </c>
      <c r="D67" s="29">
        <f>B67*'Economic Inputs Parameters'!$B$2</f>
        <v>59334</v>
      </c>
      <c r="E67" s="29">
        <f>C67*'Economic Inputs Parameters'!$B$3</f>
        <v>18270</v>
      </c>
      <c r="F67" s="29">
        <f t="shared" si="1"/>
        <v>77604</v>
      </c>
      <c r="G67" s="28">
        <f>'Economic Inputs Parameters'!$B$4</f>
        <v>3000</v>
      </c>
      <c r="H67" s="28">
        <f t="shared" si="2"/>
        <v>74604</v>
      </c>
      <c r="I67" s="29">
        <v>0.0</v>
      </c>
      <c r="J67" s="28">
        <f t="shared" si="3"/>
        <v>74604</v>
      </c>
      <c r="K67" s="28">
        <f>1/(1+'Economic Inputs Parameters'!$B$5)^(A67)</f>
        <v>0.5940796378</v>
      </c>
      <c r="L67" s="28">
        <f t="shared" si="4"/>
        <v>44320.7173</v>
      </c>
      <c r="M67" s="60">
        <f t="shared" si="6"/>
        <v>-7228839.565</v>
      </c>
    </row>
    <row r="68" ht="12.75" customHeight="1">
      <c r="A68" s="49">
        <f t="shared" si="5"/>
        <v>64</v>
      </c>
      <c r="B68" s="28">
        <f>DCA_Forecast_Model!G69</f>
        <v>16740</v>
      </c>
      <c r="C68" s="28">
        <f>DCA_Forecast_Model!H69</f>
        <v>389</v>
      </c>
      <c r="D68" s="29">
        <f>B68*'Economic Inputs Parameters'!$B$2</f>
        <v>50220</v>
      </c>
      <c r="E68" s="29">
        <f>C68*'Economic Inputs Parameters'!$B$3</f>
        <v>27230</v>
      </c>
      <c r="F68" s="29">
        <f t="shared" si="1"/>
        <v>77450</v>
      </c>
      <c r="G68" s="28">
        <f>'Economic Inputs Parameters'!$B$4</f>
        <v>3000</v>
      </c>
      <c r="H68" s="28">
        <f t="shared" si="2"/>
        <v>74450</v>
      </c>
      <c r="I68" s="29">
        <v>0.0</v>
      </c>
      <c r="J68" s="28">
        <f t="shared" si="3"/>
        <v>74450</v>
      </c>
      <c r="K68" s="28">
        <f>1/(1+'Economic Inputs Parameters'!$B$5)^(A68)</f>
        <v>0.589189366</v>
      </c>
      <c r="L68" s="28">
        <f t="shared" si="4"/>
        <v>43865.1483</v>
      </c>
      <c r="M68" s="60">
        <f t="shared" si="6"/>
        <v>-7184974.416</v>
      </c>
    </row>
    <row r="69" ht="12.75" customHeight="1">
      <c r="A69" s="49">
        <f t="shared" si="5"/>
        <v>65</v>
      </c>
      <c r="B69" s="28">
        <f>DCA_Forecast_Model!G70</f>
        <v>23120</v>
      </c>
      <c r="C69" s="28">
        <f>DCA_Forecast_Model!H70</f>
        <v>412</v>
      </c>
      <c r="D69" s="29">
        <f>B69*'Economic Inputs Parameters'!$B$2</f>
        <v>69360</v>
      </c>
      <c r="E69" s="29">
        <f>C69*'Economic Inputs Parameters'!$B$3</f>
        <v>28840</v>
      </c>
      <c r="F69" s="29">
        <f t="shared" si="1"/>
        <v>98200</v>
      </c>
      <c r="G69" s="28">
        <f>'Economic Inputs Parameters'!$B$4</f>
        <v>3000</v>
      </c>
      <c r="H69" s="28">
        <f t="shared" si="2"/>
        <v>95200</v>
      </c>
      <c r="I69" s="29">
        <v>0.0</v>
      </c>
      <c r="J69" s="28">
        <f t="shared" si="3"/>
        <v>95200</v>
      </c>
      <c r="K69" s="28">
        <f>1/(1+'Economic Inputs Parameters'!$B$5)^(A69)</f>
        <v>0.5843393494</v>
      </c>
      <c r="L69" s="28">
        <f t="shared" si="4"/>
        <v>55629.10607</v>
      </c>
      <c r="M69" s="60">
        <f t="shared" si="6"/>
        <v>-7129345.31</v>
      </c>
    </row>
    <row r="70" ht="12.75" customHeight="1">
      <c r="A70" s="49">
        <f t="shared" si="5"/>
        <v>66</v>
      </c>
      <c r="B70" s="28">
        <f>DCA_Forecast_Model!G71</f>
        <v>30415</v>
      </c>
      <c r="C70" s="28">
        <f>DCA_Forecast_Model!H71</f>
        <v>375</v>
      </c>
      <c r="D70" s="29">
        <f>B70*'Economic Inputs Parameters'!$B$2</f>
        <v>91245</v>
      </c>
      <c r="E70" s="29">
        <f>C70*'Economic Inputs Parameters'!$B$3</f>
        <v>26250</v>
      </c>
      <c r="F70" s="29">
        <f t="shared" si="1"/>
        <v>117495</v>
      </c>
      <c r="G70" s="28">
        <f>'Economic Inputs Parameters'!$B$4</f>
        <v>3000</v>
      </c>
      <c r="H70" s="28">
        <f t="shared" si="2"/>
        <v>114495</v>
      </c>
      <c r="I70" s="29">
        <v>0.0</v>
      </c>
      <c r="J70" s="28">
        <f t="shared" si="3"/>
        <v>114495</v>
      </c>
      <c r="K70" s="28">
        <f>1/(1+'Economic Inputs Parameters'!$B$5)^(A70)</f>
        <v>0.5795292566</v>
      </c>
      <c r="L70" s="28">
        <f t="shared" si="4"/>
        <v>66353.20224</v>
      </c>
      <c r="M70" s="60">
        <f t="shared" si="6"/>
        <v>-7062992.108</v>
      </c>
    </row>
    <row r="71" ht="12.75" customHeight="1">
      <c r="A71" s="49">
        <f t="shared" si="5"/>
        <v>67</v>
      </c>
      <c r="B71" s="28">
        <f>DCA_Forecast_Model!G72</f>
        <v>36426</v>
      </c>
      <c r="C71" s="28">
        <f>DCA_Forecast_Model!H72</f>
        <v>956</v>
      </c>
      <c r="D71" s="29">
        <f>B71*'Economic Inputs Parameters'!$B$2</f>
        <v>109278</v>
      </c>
      <c r="E71" s="29">
        <f>C71*'Economic Inputs Parameters'!$B$3</f>
        <v>66920</v>
      </c>
      <c r="F71" s="29">
        <f t="shared" si="1"/>
        <v>176198</v>
      </c>
      <c r="G71" s="28">
        <f>'Economic Inputs Parameters'!$B$4</f>
        <v>3000</v>
      </c>
      <c r="H71" s="28">
        <f t="shared" si="2"/>
        <v>173198</v>
      </c>
      <c r="I71" s="29">
        <v>0.0</v>
      </c>
      <c r="J71" s="28">
        <f t="shared" si="3"/>
        <v>173198</v>
      </c>
      <c r="K71" s="28">
        <f>1/(1+'Economic Inputs Parameters'!$B$5)^(A71)</f>
        <v>0.5747587589</v>
      </c>
      <c r="L71" s="28">
        <f t="shared" si="4"/>
        <v>99547.06753</v>
      </c>
      <c r="M71" s="60">
        <f t="shared" si="6"/>
        <v>-6963445.04</v>
      </c>
    </row>
    <row r="72" ht="12.75" customHeight="1">
      <c r="A72" s="49">
        <f t="shared" si="5"/>
        <v>68</v>
      </c>
      <c r="B72" s="28">
        <f>DCA_Forecast_Model!G73</f>
        <v>31126</v>
      </c>
      <c r="C72" s="28">
        <f>DCA_Forecast_Model!H73</f>
        <v>923</v>
      </c>
      <c r="D72" s="29">
        <f>B72*'Economic Inputs Parameters'!$B$2</f>
        <v>93378</v>
      </c>
      <c r="E72" s="29">
        <f>C72*'Economic Inputs Parameters'!$B$3</f>
        <v>64610</v>
      </c>
      <c r="F72" s="29">
        <f t="shared" si="1"/>
        <v>157988</v>
      </c>
      <c r="G72" s="28">
        <f>'Economic Inputs Parameters'!$B$4</f>
        <v>3000</v>
      </c>
      <c r="H72" s="28">
        <f t="shared" si="2"/>
        <v>154988</v>
      </c>
      <c r="I72" s="29">
        <v>0.0</v>
      </c>
      <c r="J72" s="28">
        <f t="shared" si="3"/>
        <v>154988</v>
      </c>
      <c r="K72" s="28">
        <f>1/(1+'Economic Inputs Parameters'!$B$5)^(A72)</f>
        <v>0.5700275304</v>
      </c>
      <c r="L72" s="28">
        <f t="shared" si="4"/>
        <v>88347.42688</v>
      </c>
      <c r="M72" s="60">
        <f t="shared" si="6"/>
        <v>-6875097.614</v>
      </c>
    </row>
    <row r="73" ht="12.75" customHeight="1">
      <c r="A73" s="49">
        <f t="shared" si="5"/>
        <v>69</v>
      </c>
      <c r="B73" s="28">
        <f>DCA_Forecast_Model!G74</f>
        <v>30124</v>
      </c>
      <c r="C73" s="28">
        <f>DCA_Forecast_Model!H74</f>
        <v>645</v>
      </c>
      <c r="D73" s="29">
        <f>B73*'Economic Inputs Parameters'!$B$2</f>
        <v>90372</v>
      </c>
      <c r="E73" s="29">
        <f>C73*'Economic Inputs Parameters'!$B$3</f>
        <v>45150</v>
      </c>
      <c r="F73" s="29">
        <f t="shared" si="1"/>
        <v>135522</v>
      </c>
      <c r="G73" s="28">
        <f>'Economic Inputs Parameters'!$B$4</f>
        <v>3000</v>
      </c>
      <c r="H73" s="28">
        <f t="shared" si="2"/>
        <v>132522</v>
      </c>
      <c r="I73" s="29">
        <v>0.0</v>
      </c>
      <c r="J73" s="28">
        <f t="shared" si="3"/>
        <v>132522</v>
      </c>
      <c r="K73" s="28">
        <f>1/(1+'Economic Inputs Parameters'!$B$5)^(A73)</f>
        <v>0.5653352479</v>
      </c>
      <c r="L73" s="28">
        <f t="shared" si="4"/>
        <v>74919.35772</v>
      </c>
      <c r="M73" s="60">
        <f t="shared" si="6"/>
        <v>-6800178.256</v>
      </c>
    </row>
    <row r="74" ht="12.75" customHeight="1">
      <c r="A74" s="49">
        <f t="shared" si="5"/>
        <v>70</v>
      </c>
      <c r="B74" s="28">
        <f>DCA_Forecast_Model!G75</f>
        <v>30905</v>
      </c>
      <c r="C74" s="28">
        <f>DCA_Forecast_Model!H75</f>
        <v>284</v>
      </c>
      <c r="D74" s="29">
        <f>B74*'Economic Inputs Parameters'!$B$2</f>
        <v>92715</v>
      </c>
      <c r="E74" s="29">
        <f>C74*'Economic Inputs Parameters'!$B$3</f>
        <v>19880</v>
      </c>
      <c r="F74" s="29">
        <f t="shared" si="1"/>
        <v>112595</v>
      </c>
      <c r="G74" s="28">
        <f>'Economic Inputs Parameters'!$B$4</f>
        <v>3000</v>
      </c>
      <c r="H74" s="28">
        <f t="shared" si="2"/>
        <v>109595</v>
      </c>
      <c r="I74" s="29">
        <v>0.0</v>
      </c>
      <c r="J74" s="28">
        <f t="shared" si="3"/>
        <v>109595</v>
      </c>
      <c r="K74" s="28">
        <f>1/(1+'Economic Inputs Parameters'!$B$5)^(A74)</f>
        <v>0.5606815906</v>
      </c>
      <c r="L74" s="28">
        <f t="shared" si="4"/>
        <v>61447.89893</v>
      </c>
      <c r="M74" s="60">
        <f t="shared" si="6"/>
        <v>-6738730.357</v>
      </c>
    </row>
    <row r="75" ht="12.75" customHeight="1">
      <c r="A75" s="49">
        <f t="shared" si="5"/>
        <v>71</v>
      </c>
      <c r="B75" s="28">
        <f>DCA_Forecast_Model!G76</f>
        <v>5299</v>
      </c>
      <c r="C75" s="28">
        <f>DCA_Forecast_Model!H76</f>
        <v>152</v>
      </c>
      <c r="D75" s="29">
        <f>B75*'Economic Inputs Parameters'!$B$2</f>
        <v>15897</v>
      </c>
      <c r="E75" s="29">
        <f>C75*'Economic Inputs Parameters'!$B$3</f>
        <v>10640</v>
      </c>
      <c r="F75" s="29">
        <f t="shared" si="1"/>
        <v>26537</v>
      </c>
      <c r="G75" s="28">
        <f>'Economic Inputs Parameters'!$B$4</f>
        <v>3000</v>
      </c>
      <c r="H75" s="28">
        <f t="shared" si="2"/>
        <v>23537</v>
      </c>
      <c r="I75" s="29">
        <v>0.0</v>
      </c>
      <c r="J75" s="28">
        <f t="shared" si="3"/>
        <v>23537</v>
      </c>
      <c r="K75" s="28">
        <f>1/(1+'Economic Inputs Parameters'!$B$5)^(A75)</f>
        <v>0.5560662408</v>
      </c>
      <c r="L75" s="28">
        <f t="shared" si="4"/>
        <v>13088.13111</v>
      </c>
      <c r="M75" s="60">
        <f t="shared" si="6"/>
        <v>-6725642.226</v>
      </c>
    </row>
    <row r="76" ht="12.75" customHeight="1">
      <c r="A76" s="49">
        <f t="shared" si="5"/>
        <v>72</v>
      </c>
      <c r="B76" s="28">
        <f>DCA_Forecast_Model!G77</f>
        <v>12612</v>
      </c>
      <c r="C76" s="28">
        <f>DCA_Forecast_Model!H77</f>
        <v>121</v>
      </c>
      <c r="D76" s="29">
        <f>B76*'Economic Inputs Parameters'!$B$2</f>
        <v>37836</v>
      </c>
      <c r="E76" s="29">
        <f>C76*'Economic Inputs Parameters'!$B$3</f>
        <v>8470</v>
      </c>
      <c r="F76" s="29">
        <f t="shared" si="1"/>
        <v>46306</v>
      </c>
      <c r="G76" s="28">
        <f>'Economic Inputs Parameters'!$B$4</f>
        <v>3000</v>
      </c>
      <c r="H76" s="28">
        <f t="shared" si="2"/>
        <v>43306</v>
      </c>
      <c r="I76" s="29">
        <v>0.0</v>
      </c>
      <c r="J76" s="28">
        <f t="shared" si="3"/>
        <v>43306</v>
      </c>
      <c r="K76" s="28">
        <f>1/(1+'Economic Inputs Parameters'!$B$5)^(A76)</f>
        <v>0.5514888831</v>
      </c>
      <c r="L76" s="28">
        <f t="shared" si="4"/>
        <v>23882.77757</v>
      </c>
      <c r="M76" s="60">
        <f t="shared" si="6"/>
        <v>-6701759.448</v>
      </c>
    </row>
    <row r="77" ht="12.75" customHeight="1">
      <c r="A77" s="49">
        <f t="shared" si="5"/>
        <v>73</v>
      </c>
      <c r="B77" s="28">
        <f>DCA_Forecast_Model!G78</f>
        <v>19002</v>
      </c>
      <c r="C77" s="28">
        <f>DCA_Forecast_Model!H78</f>
        <v>580</v>
      </c>
      <c r="D77" s="29">
        <f>B77*'Economic Inputs Parameters'!$B$2</f>
        <v>57006</v>
      </c>
      <c r="E77" s="29">
        <f>C77*'Economic Inputs Parameters'!$B$3</f>
        <v>40600</v>
      </c>
      <c r="F77" s="29">
        <f t="shared" si="1"/>
        <v>97606</v>
      </c>
      <c r="G77" s="28">
        <f>'Economic Inputs Parameters'!$B$4</f>
        <v>3000</v>
      </c>
      <c r="H77" s="28">
        <f t="shared" si="2"/>
        <v>94606</v>
      </c>
      <c r="I77" s="29">
        <v>0.0</v>
      </c>
      <c r="J77" s="28">
        <f t="shared" si="3"/>
        <v>94606</v>
      </c>
      <c r="K77" s="28">
        <f>1/(1+'Economic Inputs Parameters'!$B$5)^(A77)</f>
        <v>0.5469492047</v>
      </c>
      <c r="L77" s="28">
        <f t="shared" si="4"/>
        <v>51744.67646</v>
      </c>
      <c r="M77" s="60">
        <f t="shared" si="6"/>
        <v>-6650014.772</v>
      </c>
    </row>
    <row r="78" ht="12.75" customHeight="1">
      <c r="A78" s="49">
        <f t="shared" si="5"/>
        <v>74</v>
      </c>
      <c r="B78" s="28">
        <f>DCA_Forecast_Model!G79</f>
        <v>25314</v>
      </c>
      <c r="C78" s="28">
        <f>DCA_Forecast_Model!H79</f>
        <v>325</v>
      </c>
      <c r="D78" s="29">
        <f>B78*'Economic Inputs Parameters'!$B$2</f>
        <v>75942</v>
      </c>
      <c r="E78" s="29">
        <f>C78*'Economic Inputs Parameters'!$B$3</f>
        <v>22750</v>
      </c>
      <c r="F78" s="29">
        <f t="shared" si="1"/>
        <v>98692</v>
      </c>
      <c r="G78" s="28">
        <f>'Economic Inputs Parameters'!$B$4</f>
        <v>3000</v>
      </c>
      <c r="H78" s="28">
        <f t="shared" si="2"/>
        <v>95692</v>
      </c>
      <c r="I78" s="29">
        <v>0.0</v>
      </c>
      <c r="J78" s="28">
        <f t="shared" si="3"/>
        <v>95692</v>
      </c>
      <c r="K78" s="28">
        <f>1/(1+'Economic Inputs Parameters'!$B$5)^(A78)</f>
        <v>0.5424468955</v>
      </c>
      <c r="L78" s="28">
        <f t="shared" si="4"/>
        <v>51907.82832</v>
      </c>
      <c r="M78" s="60">
        <f t="shared" si="6"/>
        <v>-6598106.943</v>
      </c>
    </row>
    <row r="79" ht="12.75" customHeight="1">
      <c r="A79" s="49">
        <f t="shared" si="5"/>
        <v>75</v>
      </c>
      <c r="B79" s="28">
        <f>DCA_Forecast_Model!G80</f>
        <v>23769</v>
      </c>
      <c r="C79" s="28">
        <f>DCA_Forecast_Model!H80</f>
        <v>387</v>
      </c>
      <c r="D79" s="29">
        <f>B79*'Economic Inputs Parameters'!$B$2</f>
        <v>71307</v>
      </c>
      <c r="E79" s="29">
        <f>C79*'Economic Inputs Parameters'!$B$3</f>
        <v>27090</v>
      </c>
      <c r="F79" s="29">
        <f t="shared" si="1"/>
        <v>98397</v>
      </c>
      <c r="G79" s="28">
        <f>'Economic Inputs Parameters'!$B$4</f>
        <v>3000</v>
      </c>
      <c r="H79" s="28">
        <f t="shared" si="2"/>
        <v>95397</v>
      </c>
      <c r="I79" s="29">
        <v>0.0</v>
      </c>
      <c r="J79" s="28">
        <f t="shared" si="3"/>
        <v>95397</v>
      </c>
      <c r="K79" s="28">
        <f>1/(1+'Economic Inputs Parameters'!$B$5)^(A79)</f>
        <v>0.5379816478</v>
      </c>
      <c r="L79" s="28">
        <f t="shared" si="4"/>
        <v>51321.83526</v>
      </c>
      <c r="M79" s="60">
        <f t="shared" si="6"/>
        <v>-6546785.108</v>
      </c>
    </row>
    <row r="80" ht="12.75" customHeight="1">
      <c r="A80" s="49">
        <f t="shared" si="5"/>
        <v>76</v>
      </c>
      <c r="B80" s="28">
        <f>DCA_Forecast_Model!G81</f>
        <v>17272</v>
      </c>
      <c r="C80" s="28">
        <f>DCA_Forecast_Model!H81</f>
        <v>323</v>
      </c>
      <c r="D80" s="29">
        <f>B80*'Economic Inputs Parameters'!$B$2</f>
        <v>51816</v>
      </c>
      <c r="E80" s="29">
        <f>C80*'Economic Inputs Parameters'!$B$3</f>
        <v>22610</v>
      </c>
      <c r="F80" s="29">
        <f t="shared" si="1"/>
        <v>74426</v>
      </c>
      <c r="G80" s="28">
        <f>'Economic Inputs Parameters'!$B$4</f>
        <v>3000</v>
      </c>
      <c r="H80" s="28">
        <f t="shared" si="2"/>
        <v>71426</v>
      </c>
      <c r="I80" s="29">
        <v>0.0</v>
      </c>
      <c r="J80" s="28">
        <f t="shared" si="3"/>
        <v>71426</v>
      </c>
      <c r="K80" s="28">
        <f>1/(1+'Economic Inputs Parameters'!$B$5)^(A80)</f>
        <v>0.5335531566</v>
      </c>
      <c r="L80" s="28">
        <f t="shared" si="4"/>
        <v>38109.56776</v>
      </c>
      <c r="M80" s="60">
        <f t="shared" si="6"/>
        <v>-6508675.54</v>
      </c>
    </row>
    <row r="81" ht="12.75" customHeight="1">
      <c r="A81" s="49">
        <f t="shared" si="5"/>
        <v>77</v>
      </c>
      <c r="B81" s="28">
        <f>DCA_Forecast_Model!G82</f>
        <v>10713</v>
      </c>
      <c r="C81" s="28">
        <f>DCA_Forecast_Model!H82</f>
        <v>273</v>
      </c>
      <c r="D81" s="29">
        <f>B81*'Economic Inputs Parameters'!$B$2</f>
        <v>32139</v>
      </c>
      <c r="E81" s="29">
        <f>C81*'Economic Inputs Parameters'!$B$3</f>
        <v>19110</v>
      </c>
      <c r="F81" s="29">
        <f t="shared" si="1"/>
        <v>51249</v>
      </c>
      <c r="G81" s="28">
        <f>'Economic Inputs Parameters'!$B$4</f>
        <v>3000</v>
      </c>
      <c r="H81" s="28">
        <f t="shared" si="2"/>
        <v>48249</v>
      </c>
      <c r="I81" s="29">
        <v>0.0</v>
      </c>
      <c r="J81" s="28">
        <f t="shared" si="3"/>
        <v>48249</v>
      </c>
      <c r="K81" s="28">
        <f>1/(1+'Economic Inputs Parameters'!$B$5)^(A81)</f>
        <v>0.5291611193</v>
      </c>
      <c r="L81" s="28">
        <f t="shared" si="4"/>
        <v>25531.49485</v>
      </c>
      <c r="M81" s="60">
        <f t="shared" si="6"/>
        <v>-6483144.046</v>
      </c>
    </row>
    <row r="82" ht="12.75" customHeight="1">
      <c r="A82" s="49">
        <f t="shared" si="5"/>
        <v>78</v>
      </c>
      <c r="B82" s="28">
        <f>DCA_Forecast_Model!G83</f>
        <v>11924</v>
      </c>
      <c r="C82" s="28">
        <f>DCA_Forecast_Model!H83</f>
        <v>497</v>
      </c>
      <c r="D82" s="29">
        <f>B82*'Economic Inputs Parameters'!$B$2</f>
        <v>35772</v>
      </c>
      <c r="E82" s="29">
        <f>C82*'Economic Inputs Parameters'!$B$3</f>
        <v>34790</v>
      </c>
      <c r="F82" s="29">
        <f t="shared" si="1"/>
        <v>70562</v>
      </c>
      <c r="G82" s="28">
        <f>'Economic Inputs Parameters'!$B$4</f>
        <v>3000</v>
      </c>
      <c r="H82" s="28">
        <f t="shared" si="2"/>
        <v>67562</v>
      </c>
      <c r="I82" s="29">
        <v>0.0</v>
      </c>
      <c r="J82" s="28">
        <f t="shared" si="3"/>
        <v>67562</v>
      </c>
      <c r="K82" s="28">
        <f>1/(1+'Economic Inputs Parameters'!$B$5)^(A82)</f>
        <v>0.5248052359</v>
      </c>
      <c r="L82" s="28">
        <f t="shared" si="4"/>
        <v>35456.89135</v>
      </c>
      <c r="M82" s="60">
        <f t="shared" si="6"/>
        <v>-6447687.154</v>
      </c>
    </row>
    <row r="83" ht="12.75" customHeight="1">
      <c r="A83" s="49">
        <f t="shared" si="5"/>
        <v>79</v>
      </c>
      <c r="B83" s="28">
        <f>DCA_Forecast_Model!G84</f>
        <v>13080</v>
      </c>
      <c r="C83" s="28">
        <f>DCA_Forecast_Model!H84</f>
        <v>553</v>
      </c>
      <c r="D83" s="29">
        <f>B83*'Economic Inputs Parameters'!$B$2</f>
        <v>39240</v>
      </c>
      <c r="E83" s="29">
        <f>C83*'Economic Inputs Parameters'!$B$3</f>
        <v>38710</v>
      </c>
      <c r="F83" s="29">
        <f t="shared" si="1"/>
        <v>77950</v>
      </c>
      <c r="G83" s="28">
        <f>'Economic Inputs Parameters'!$B$4</f>
        <v>3000</v>
      </c>
      <c r="H83" s="28">
        <f t="shared" si="2"/>
        <v>74950</v>
      </c>
      <c r="I83" s="29">
        <v>0.0</v>
      </c>
      <c r="J83" s="28">
        <f t="shared" si="3"/>
        <v>74950</v>
      </c>
      <c r="K83" s="28">
        <f>1/(1+'Economic Inputs Parameters'!$B$5)^(A83)</f>
        <v>0.5204852086</v>
      </c>
      <c r="L83" s="28">
        <f t="shared" si="4"/>
        <v>39010.36639</v>
      </c>
      <c r="M83" s="60">
        <f t="shared" si="6"/>
        <v>-6408676.788</v>
      </c>
    </row>
    <row r="84" ht="12.75" customHeight="1">
      <c r="A84" s="49">
        <f t="shared" si="5"/>
        <v>80</v>
      </c>
      <c r="B84" s="28">
        <f>DCA_Forecast_Model!G85</f>
        <v>19209</v>
      </c>
      <c r="C84" s="28">
        <f>DCA_Forecast_Model!H85</f>
        <v>352</v>
      </c>
      <c r="D84" s="29">
        <f>B84*'Economic Inputs Parameters'!$B$2</f>
        <v>57627</v>
      </c>
      <c r="E84" s="29">
        <f>C84*'Economic Inputs Parameters'!$B$3</f>
        <v>24640</v>
      </c>
      <c r="F84" s="29">
        <f t="shared" si="1"/>
        <v>82267</v>
      </c>
      <c r="G84" s="28">
        <f>'Economic Inputs Parameters'!$B$4</f>
        <v>3000</v>
      </c>
      <c r="H84" s="28">
        <f t="shared" si="2"/>
        <v>79267</v>
      </c>
      <c r="I84" s="29">
        <v>0.0</v>
      </c>
      <c r="J84" s="28">
        <f t="shared" si="3"/>
        <v>79267</v>
      </c>
      <c r="K84" s="28">
        <f>1/(1+'Economic Inputs Parameters'!$B$5)^(A84)</f>
        <v>0.5162007425</v>
      </c>
      <c r="L84" s="28">
        <f t="shared" si="4"/>
        <v>40917.68425</v>
      </c>
      <c r="M84" s="60">
        <f t="shared" si="6"/>
        <v>-6367759.104</v>
      </c>
    </row>
    <row r="85" ht="12.75" customHeight="1">
      <c r="A85" s="49">
        <f t="shared" si="5"/>
        <v>81</v>
      </c>
      <c r="B85" s="28">
        <f>DCA_Forecast_Model!G86</f>
        <v>15758</v>
      </c>
      <c r="C85" s="28">
        <f>DCA_Forecast_Model!H86</f>
        <v>222</v>
      </c>
      <c r="D85" s="29">
        <f>B85*'Economic Inputs Parameters'!$B$2</f>
        <v>47274</v>
      </c>
      <c r="E85" s="29">
        <f>C85*'Economic Inputs Parameters'!$B$3</f>
        <v>15540</v>
      </c>
      <c r="F85" s="29">
        <f t="shared" si="1"/>
        <v>62814</v>
      </c>
      <c r="G85" s="28">
        <f>'Economic Inputs Parameters'!$B$4</f>
        <v>3000</v>
      </c>
      <c r="H85" s="28">
        <f t="shared" si="2"/>
        <v>59814</v>
      </c>
      <c r="I85" s="29">
        <v>0.0</v>
      </c>
      <c r="J85" s="28">
        <f t="shared" si="3"/>
        <v>59814</v>
      </c>
      <c r="K85" s="28">
        <f>1/(1+'Economic Inputs Parameters'!$B$5)^(A85)</f>
        <v>0.5119515446</v>
      </c>
      <c r="L85" s="28">
        <f t="shared" si="4"/>
        <v>30621.86969</v>
      </c>
      <c r="M85" s="60">
        <f t="shared" si="6"/>
        <v>-6337137.234</v>
      </c>
    </row>
    <row r="86" ht="12.75" customHeight="1">
      <c r="A86" s="49">
        <f t="shared" si="5"/>
        <v>82</v>
      </c>
      <c r="B86" s="28">
        <f>DCA_Forecast_Model!G87</f>
        <v>20515</v>
      </c>
      <c r="C86" s="28">
        <f>DCA_Forecast_Model!H87</f>
        <v>331</v>
      </c>
      <c r="D86" s="29">
        <f>B86*'Economic Inputs Parameters'!$B$2</f>
        <v>61545</v>
      </c>
      <c r="E86" s="29">
        <f>C86*'Economic Inputs Parameters'!$B$3</f>
        <v>23170</v>
      </c>
      <c r="F86" s="29">
        <f t="shared" si="1"/>
        <v>84715</v>
      </c>
      <c r="G86" s="28">
        <f>'Economic Inputs Parameters'!$B$4</f>
        <v>3000</v>
      </c>
      <c r="H86" s="28">
        <f t="shared" si="2"/>
        <v>81715</v>
      </c>
      <c r="I86" s="29">
        <v>0.0</v>
      </c>
      <c r="J86" s="28">
        <f t="shared" si="3"/>
        <v>81715</v>
      </c>
      <c r="K86" s="28">
        <f>1/(1+'Economic Inputs Parameters'!$B$5)^(A86)</f>
        <v>0.5077373249</v>
      </c>
      <c r="L86" s="28">
        <f t="shared" si="4"/>
        <v>41489.7555</v>
      </c>
      <c r="M86" s="60">
        <f t="shared" si="6"/>
        <v>-6295647.478</v>
      </c>
    </row>
    <row r="87" ht="12.75" customHeight="1">
      <c r="A87" s="49">
        <f t="shared" si="5"/>
        <v>83</v>
      </c>
      <c r="B87" s="28">
        <f>DCA_Forecast_Model!G88</f>
        <v>14657</v>
      </c>
      <c r="C87" s="28">
        <f>DCA_Forecast_Model!H88</f>
        <v>252</v>
      </c>
      <c r="D87" s="29">
        <f>B87*'Economic Inputs Parameters'!$B$2</f>
        <v>43971</v>
      </c>
      <c r="E87" s="29">
        <f>C87*'Economic Inputs Parameters'!$B$3</f>
        <v>17640</v>
      </c>
      <c r="F87" s="29">
        <f t="shared" si="1"/>
        <v>61611</v>
      </c>
      <c r="G87" s="28">
        <f>'Economic Inputs Parameters'!$B$4</f>
        <v>3000</v>
      </c>
      <c r="H87" s="28">
        <f t="shared" si="2"/>
        <v>58611</v>
      </c>
      <c r="I87" s="29">
        <v>0.0</v>
      </c>
      <c r="J87" s="28">
        <f t="shared" si="3"/>
        <v>58611</v>
      </c>
      <c r="K87" s="28">
        <f>1/(1+'Economic Inputs Parameters'!$B$5)^(A87)</f>
        <v>0.5035577952</v>
      </c>
      <c r="L87" s="28">
        <f t="shared" si="4"/>
        <v>29514.02593</v>
      </c>
      <c r="M87" s="60">
        <f t="shared" si="6"/>
        <v>-6266133.452</v>
      </c>
    </row>
    <row r="88" ht="12.75" customHeight="1">
      <c r="A88" s="49">
        <f t="shared" si="5"/>
        <v>84</v>
      </c>
      <c r="B88" s="28">
        <f>DCA_Forecast_Model!G89</f>
        <v>13121</v>
      </c>
      <c r="C88" s="28">
        <f>DCA_Forecast_Model!H89</f>
        <v>217</v>
      </c>
      <c r="D88" s="29">
        <f>B88*'Economic Inputs Parameters'!$B$2</f>
        <v>39363</v>
      </c>
      <c r="E88" s="29">
        <f>C88*'Economic Inputs Parameters'!$B$3</f>
        <v>15190</v>
      </c>
      <c r="F88" s="29">
        <f t="shared" si="1"/>
        <v>54553</v>
      </c>
      <c r="G88" s="28">
        <f>'Economic Inputs Parameters'!$B$4</f>
        <v>3000</v>
      </c>
      <c r="H88" s="28">
        <f t="shared" si="2"/>
        <v>51553</v>
      </c>
      <c r="I88" s="29">
        <v>0.0</v>
      </c>
      <c r="J88" s="28">
        <f t="shared" si="3"/>
        <v>51553</v>
      </c>
      <c r="K88" s="28">
        <f>1/(1+'Economic Inputs Parameters'!$B$5)^(A88)</f>
        <v>0.49941267</v>
      </c>
      <c r="L88" s="28">
        <f t="shared" si="4"/>
        <v>25746.22138</v>
      </c>
      <c r="M88" s="60">
        <f t="shared" si="6"/>
        <v>-6240387.231</v>
      </c>
    </row>
    <row r="89" ht="12.75" customHeight="1">
      <c r="A89" s="49">
        <f t="shared" si="5"/>
        <v>85</v>
      </c>
      <c r="B89" s="28">
        <f>DCA_Forecast_Model!G90</f>
        <v>14310.19265</v>
      </c>
      <c r="C89" s="28">
        <f>DCA_Forecast_Model!H90</f>
        <v>184.1960696</v>
      </c>
      <c r="D89" s="29">
        <f>B89*'Economic Inputs Parameters'!$B$2</f>
        <v>42930.57794</v>
      </c>
      <c r="E89" s="29">
        <f>C89*'Economic Inputs Parameters'!$B$3</f>
        <v>12893.72487</v>
      </c>
      <c r="F89" s="29">
        <f t="shared" si="1"/>
        <v>55824.30281</v>
      </c>
      <c r="G89" s="28">
        <f>'Economic Inputs Parameters'!$B$4</f>
        <v>3000</v>
      </c>
      <c r="H89" s="28">
        <f t="shared" si="2"/>
        <v>52824.30281</v>
      </c>
      <c r="I89" s="29">
        <v>0.0</v>
      </c>
      <c r="J89" s="28">
        <f t="shared" si="3"/>
        <v>52824.30281</v>
      </c>
      <c r="K89" s="28">
        <f>1/(1+'Economic Inputs Parameters'!$B$5)^(A89)</f>
        <v>0.4953016662</v>
      </c>
      <c r="L89" s="28">
        <f t="shared" si="4"/>
        <v>26163.96519</v>
      </c>
      <c r="M89" s="60">
        <f t="shared" si="6"/>
        <v>-6214223.266</v>
      </c>
    </row>
    <row r="90" ht="12.75" customHeight="1">
      <c r="A90" s="49">
        <f t="shared" si="5"/>
        <v>86</v>
      </c>
      <c r="B90" s="28">
        <f>DCA_Forecast_Model!G91</f>
        <v>14054.91358</v>
      </c>
      <c r="C90" s="28">
        <f>DCA_Forecast_Model!H91</f>
        <v>180.9102019</v>
      </c>
      <c r="D90" s="29">
        <f>B90*'Economic Inputs Parameters'!$B$2</f>
        <v>42164.74075</v>
      </c>
      <c r="E90" s="29">
        <f>C90*'Economic Inputs Parameters'!$B$3</f>
        <v>12663.71413</v>
      </c>
      <c r="F90" s="29">
        <f t="shared" si="1"/>
        <v>54828.45488</v>
      </c>
      <c r="G90" s="28">
        <f>'Economic Inputs Parameters'!$B$4</f>
        <v>3000</v>
      </c>
      <c r="H90" s="28">
        <f t="shared" si="2"/>
        <v>51828.45488</v>
      </c>
      <c r="I90" s="29">
        <v>0.0</v>
      </c>
      <c r="J90" s="28">
        <f t="shared" si="3"/>
        <v>51828.45488</v>
      </c>
      <c r="K90" s="28">
        <f>1/(1+'Economic Inputs Parameters'!$B$5)^(A90)</f>
        <v>0.4912245028</v>
      </c>
      <c r="L90" s="28">
        <f t="shared" si="4"/>
        <v>25459.40698</v>
      </c>
      <c r="M90" s="60">
        <f t="shared" si="6"/>
        <v>-6188763.859</v>
      </c>
    </row>
    <row r="91" ht="12.75" customHeight="1">
      <c r="A91" s="49">
        <f t="shared" si="5"/>
        <v>87</v>
      </c>
      <c r="B91" s="28">
        <f>DCA_Forecast_Model!G92</f>
        <v>13804.18843</v>
      </c>
      <c r="C91" s="28">
        <f>DCA_Forecast_Model!H92</f>
        <v>177.6829506</v>
      </c>
      <c r="D91" s="29">
        <f>B91*'Economic Inputs Parameters'!$B$2</f>
        <v>41412.5653</v>
      </c>
      <c r="E91" s="29">
        <f>C91*'Economic Inputs Parameters'!$B$3</f>
        <v>12437.80654</v>
      </c>
      <c r="F91" s="29">
        <f t="shared" si="1"/>
        <v>53850.37184</v>
      </c>
      <c r="G91" s="28">
        <f>'Economic Inputs Parameters'!$B$4</f>
        <v>3000</v>
      </c>
      <c r="H91" s="28">
        <f t="shared" si="2"/>
        <v>50850.37184</v>
      </c>
      <c r="I91" s="29">
        <v>0.0</v>
      </c>
      <c r="J91" s="28">
        <f t="shared" si="3"/>
        <v>50850.37184</v>
      </c>
      <c r="K91" s="28">
        <f>1/(1+'Economic Inputs Parameters'!$B$5)^(A91)</f>
        <v>0.4871809013</v>
      </c>
      <c r="L91" s="28">
        <f t="shared" si="4"/>
        <v>24773.32999</v>
      </c>
      <c r="M91" s="60">
        <f t="shared" si="6"/>
        <v>-6163990.529</v>
      </c>
    </row>
    <row r="92" ht="12.75" customHeight="1">
      <c r="A92" s="49">
        <f t="shared" si="5"/>
        <v>88</v>
      </c>
      <c r="B92" s="28">
        <f>DCA_Forecast_Model!G93</f>
        <v>13557.93596</v>
      </c>
      <c r="C92" s="28">
        <f>DCA_Forecast_Model!H93</f>
        <v>174.5132702</v>
      </c>
      <c r="D92" s="29">
        <f>B92*'Economic Inputs Parameters'!$B$2</f>
        <v>40673.80789</v>
      </c>
      <c r="E92" s="29">
        <f>C92*'Economic Inputs Parameters'!$B$3</f>
        <v>12215.92892</v>
      </c>
      <c r="F92" s="29">
        <f t="shared" si="1"/>
        <v>52889.7368</v>
      </c>
      <c r="G92" s="28">
        <f>'Economic Inputs Parameters'!$B$4</f>
        <v>3000</v>
      </c>
      <c r="H92" s="28">
        <f t="shared" si="2"/>
        <v>49889.7368</v>
      </c>
      <c r="I92" s="29">
        <v>0.0</v>
      </c>
      <c r="J92" s="28">
        <f t="shared" si="3"/>
        <v>49889.7368</v>
      </c>
      <c r="K92" s="28">
        <f>1/(1+'Economic Inputs Parameters'!$B$5)^(A92)</f>
        <v>0.4831705854</v>
      </c>
      <c r="L92" s="28">
        <f t="shared" si="4"/>
        <v>24105.25334</v>
      </c>
      <c r="M92" s="60">
        <f t="shared" si="6"/>
        <v>-6139885.276</v>
      </c>
    </row>
    <row r="93" ht="12.75" customHeight="1">
      <c r="A93" s="49">
        <f t="shared" si="5"/>
        <v>89</v>
      </c>
      <c r="B93" s="28">
        <f>DCA_Forecast_Model!G94</f>
        <v>13316.07638</v>
      </c>
      <c r="C93" s="28">
        <f>DCA_Forecast_Model!H94</f>
        <v>171.4001336</v>
      </c>
      <c r="D93" s="29">
        <f>B93*'Economic Inputs Parameters'!$B$2</f>
        <v>39948.22915</v>
      </c>
      <c r="E93" s="29">
        <f>C93*'Economic Inputs Parameters'!$B$3</f>
        <v>11998.00935</v>
      </c>
      <c r="F93" s="29">
        <f t="shared" si="1"/>
        <v>51946.2385</v>
      </c>
      <c r="G93" s="28">
        <f>'Economic Inputs Parameters'!$B$4</f>
        <v>3000</v>
      </c>
      <c r="H93" s="28">
        <f t="shared" si="2"/>
        <v>48946.2385</v>
      </c>
      <c r="I93" s="29">
        <v>0.0</v>
      </c>
      <c r="J93" s="28">
        <f t="shared" si="3"/>
        <v>48946.2385</v>
      </c>
      <c r="K93" s="28">
        <f>1/(1+'Economic Inputs Parameters'!$B$5)^(A93)</f>
        <v>0.4791932812</v>
      </c>
      <c r="L93" s="28">
        <f t="shared" si="4"/>
        <v>23454.70863</v>
      </c>
      <c r="M93" s="60">
        <f t="shared" si="6"/>
        <v>-6116430.567</v>
      </c>
    </row>
    <row r="94" ht="12.75" customHeight="1">
      <c r="A94" s="49">
        <f t="shared" si="5"/>
        <v>90</v>
      </c>
      <c r="B94" s="28">
        <f>DCA_Forecast_Model!G95</f>
        <v>13078.53133</v>
      </c>
      <c r="C94" s="28">
        <f>DCA_Forecast_Model!H95</f>
        <v>168.3425322</v>
      </c>
      <c r="D94" s="29">
        <f>B94*'Economic Inputs Parameters'!$B$2</f>
        <v>39235.59398</v>
      </c>
      <c r="E94" s="29">
        <f>C94*'Economic Inputs Parameters'!$B$3</f>
        <v>11783.97725</v>
      </c>
      <c r="F94" s="29">
        <f t="shared" si="1"/>
        <v>51019.57123</v>
      </c>
      <c r="G94" s="28">
        <f>'Economic Inputs Parameters'!$B$4</f>
        <v>3000</v>
      </c>
      <c r="H94" s="28">
        <f t="shared" si="2"/>
        <v>48019.57123</v>
      </c>
      <c r="I94" s="29">
        <v>0.0</v>
      </c>
      <c r="J94" s="28">
        <f t="shared" si="3"/>
        <v>48019.57123</v>
      </c>
      <c r="K94" s="28">
        <f>1/(1+'Economic Inputs Parameters'!$B$5)^(A94)</f>
        <v>0.4752487169</v>
      </c>
      <c r="L94" s="28">
        <f t="shared" si="4"/>
        <v>22821.23961</v>
      </c>
      <c r="M94" s="60">
        <f t="shared" si="6"/>
        <v>-6093609.327</v>
      </c>
    </row>
    <row r="95" ht="12.75" customHeight="1">
      <c r="A95" s="49">
        <f t="shared" si="5"/>
        <v>91</v>
      </c>
      <c r="B95" s="28">
        <f>DCA_Forecast_Model!G96</f>
        <v>12845.22383</v>
      </c>
      <c r="C95" s="28">
        <f>DCA_Forecast_Model!H96</f>
        <v>165.3394752</v>
      </c>
      <c r="D95" s="29">
        <f>B95*'Economic Inputs Parameters'!$B$2</f>
        <v>38535.67149</v>
      </c>
      <c r="E95" s="29">
        <f>C95*'Economic Inputs Parameters'!$B$3</f>
        <v>11573.76326</v>
      </c>
      <c r="F95" s="29">
        <f t="shared" si="1"/>
        <v>50109.43475</v>
      </c>
      <c r="G95" s="28">
        <f>'Economic Inputs Parameters'!$B$4</f>
        <v>3000</v>
      </c>
      <c r="H95" s="28">
        <f t="shared" si="2"/>
        <v>47109.43475</v>
      </c>
      <c r="I95" s="29">
        <v>0.0</v>
      </c>
      <c r="J95" s="28">
        <f t="shared" si="3"/>
        <v>47109.43475</v>
      </c>
      <c r="K95" s="28">
        <f>1/(1+'Economic Inputs Parameters'!$B$5)^(A95)</f>
        <v>0.4713366229</v>
      </c>
      <c r="L95" s="28">
        <f t="shared" si="4"/>
        <v>22204.40188</v>
      </c>
      <c r="M95" s="60">
        <f t="shared" si="6"/>
        <v>-6071404.925</v>
      </c>
    </row>
    <row r="96" ht="12.75" customHeight="1">
      <c r="A96" s="49">
        <f t="shared" si="5"/>
        <v>92</v>
      </c>
      <c r="B96" s="28">
        <f>DCA_Forecast_Model!G97</f>
        <v>12616.0783</v>
      </c>
      <c r="C96" s="28">
        <f>DCA_Forecast_Model!H97</f>
        <v>162.3899897</v>
      </c>
      <c r="D96" s="29">
        <f>B96*'Economic Inputs Parameters'!$B$2</f>
        <v>37848.23489</v>
      </c>
      <c r="E96" s="29">
        <f>C96*'Economic Inputs Parameters'!$B$3</f>
        <v>11367.29928</v>
      </c>
      <c r="F96" s="29">
        <f t="shared" si="1"/>
        <v>49215.53417</v>
      </c>
      <c r="G96" s="28">
        <f>'Economic Inputs Parameters'!$B$4</f>
        <v>3000</v>
      </c>
      <c r="H96" s="28">
        <f t="shared" si="2"/>
        <v>46215.53417</v>
      </c>
      <c r="I96" s="29">
        <v>0.0</v>
      </c>
      <c r="J96" s="28">
        <f t="shared" si="3"/>
        <v>46215.53417</v>
      </c>
      <c r="K96" s="28">
        <f>1/(1+'Economic Inputs Parameters'!$B$5)^(A96)</f>
        <v>0.467456732</v>
      </c>
      <c r="L96" s="28">
        <f t="shared" si="4"/>
        <v>21603.76257</v>
      </c>
      <c r="M96" s="60">
        <f t="shared" si="6"/>
        <v>-6049801.163</v>
      </c>
    </row>
    <row r="97" ht="12.75" customHeight="1">
      <c r="A97" s="49">
        <f t="shared" si="5"/>
        <v>93</v>
      </c>
      <c r="B97" s="28">
        <f>DCA_Forecast_Model!G98</f>
        <v>12391.02048</v>
      </c>
      <c r="C97" s="28">
        <f>DCA_Forecast_Model!H98</f>
        <v>159.4931199</v>
      </c>
      <c r="D97" s="29">
        <f>B97*'Economic Inputs Parameters'!$B$2</f>
        <v>37173.06145</v>
      </c>
      <c r="E97" s="29">
        <f>C97*'Economic Inputs Parameters'!$B$3</f>
        <v>11164.51839</v>
      </c>
      <c r="F97" s="29">
        <f t="shared" si="1"/>
        <v>48337.57985</v>
      </c>
      <c r="G97" s="28">
        <f>'Economic Inputs Parameters'!$B$4</f>
        <v>3000</v>
      </c>
      <c r="H97" s="28">
        <f t="shared" si="2"/>
        <v>45337.57985</v>
      </c>
      <c r="I97" s="29">
        <v>0.0</v>
      </c>
      <c r="J97" s="28">
        <f t="shared" si="3"/>
        <v>45337.57985</v>
      </c>
      <c r="K97" s="28">
        <f>1/(1+'Economic Inputs Parameters'!$B$5)^(A97)</f>
        <v>0.4636087792</v>
      </c>
      <c r="L97" s="28">
        <f t="shared" si="4"/>
        <v>21018.90004</v>
      </c>
      <c r="M97" s="60">
        <f t="shared" si="6"/>
        <v>-6028782.263</v>
      </c>
    </row>
    <row r="98" ht="12.75" customHeight="1">
      <c r="A98" s="49">
        <f t="shared" si="5"/>
        <v>94</v>
      </c>
      <c r="B98" s="28">
        <f>DCA_Forecast_Model!G99</f>
        <v>12169.97747</v>
      </c>
      <c r="C98" s="28">
        <f>DCA_Forecast_Model!H99</f>
        <v>156.6479273</v>
      </c>
      <c r="D98" s="29">
        <f>B98*'Economic Inputs Parameters'!$B$2</f>
        <v>36509.93241</v>
      </c>
      <c r="E98" s="29">
        <f>C98*'Economic Inputs Parameters'!$B$3</f>
        <v>10965.35491</v>
      </c>
      <c r="F98" s="29">
        <f t="shared" si="1"/>
        <v>47475.28732</v>
      </c>
      <c r="G98" s="28">
        <f>'Economic Inputs Parameters'!$B$4</f>
        <v>3000</v>
      </c>
      <c r="H98" s="28">
        <f t="shared" si="2"/>
        <v>44475.28732</v>
      </c>
      <c r="I98" s="29">
        <v>0.0</v>
      </c>
      <c r="J98" s="28">
        <f t="shared" si="3"/>
        <v>44475.28732</v>
      </c>
      <c r="K98" s="28">
        <f>1/(1+'Economic Inputs Parameters'!$B$5)^(A98)</f>
        <v>0.4597925014</v>
      </c>
      <c r="L98" s="28">
        <f t="shared" si="4"/>
        <v>20449.40361</v>
      </c>
      <c r="M98" s="60">
        <f t="shared" si="6"/>
        <v>-6008332.859</v>
      </c>
    </row>
    <row r="99" ht="12.75" customHeight="1">
      <c r="A99" s="49">
        <f t="shared" si="5"/>
        <v>95</v>
      </c>
      <c r="B99" s="28">
        <f>DCA_Forecast_Model!G100</f>
        <v>11952.87764</v>
      </c>
      <c r="C99" s="28">
        <f>DCA_Forecast_Model!H100</f>
        <v>153.85349</v>
      </c>
      <c r="D99" s="29">
        <f>B99*'Economic Inputs Parameters'!$B$2</f>
        <v>35858.63291</v>
      </c>
      <c r="E99" s="29">
        <f>C99*'Economic Inputs Parameters'!$B$3</f>
        <v>10769.7443</v>
      </c>
      <c r="F99" s="29">
        <f t="shared" si="1"/>
        <v>46628.37721</v>
      </c>
      <c r="G99" s="28">
        <f>'Economic Inputs Parameters'!$B$4</f>
        <v>3000</v>
      </c>
      <c r="H99" s="28">
        <f t="shared" si="2"/>
        <v>43628.37721</v>
      </c>
      <c r="I99" s="29">
        <v>0.0</v>
      </c>
      <c r="J99" s="28">
        <f t="shared" si="3"/>
        <v>43628.37721</v>
      </c>
      <c r="K99" s="28">
        <f>1/(1+'Economic Inputs Parameters'!$B$5)^(A99)</f>
        <v>0.456007638</v>
      </c>
      <c r="L99" s="28">
        <f t="shared" si="4"/>
        <v>19894.87324</v>
      </c>
      <c r="M99" s="60">
        <f t="shared" si="6"/>
        <v>-5988437.986</v>
      </c>
    </row>
    <row r="100" ht="12.75" customHeight="1">
      <c r="A100" s="49">
        <f t="shared" si="5"/>
        <v>96</v>
      </c>
      <c r="B100" s="28">
        <f>DCA_Forecast_Model!G101</f>
        <v>11739.65064</v>
      </c>
      <c r="C100" s="28">
        <f>DCA_Forecast_Model!H101</f>
        <v>151.1089026</v>
      </c>
      <c r="D100" s="29">
        <f>B100*'Economic Inputs Parameters'!$B$2</f>
        <v>35218.95192</v>
      </c>
      <c r="E100" s="29">
        <f>C100*'Economic Inputs Parameters'!$B$3</f>
        <v>10577.62318</v>
      </c>
      <c r="F100" s="29">
        <f t="shared" si="1"/>
        <v>45796.5751</v>
      </c>
      <c r="G100" s="28">
        <f>'Economic Inputs Parameters'!$B$4</f>
        <v>3000</v>
      </c>
      <c r="H100" s="28">
        <f t="shared" si="2"/>
        <v>42796.5751</v>
      </c>
      <c r="I100" s="29">
        <v>0.0</v>
      </c>
      <c r="J100" s="28">
        <f t="shared" si="3"/>
        <v>42796.5751</v>
      </c>
      <c r="K100" s="28">
        <f>1/(1+'Economic Inputs Parameters'!$B$5)^(A100)</f>
        <v>0.4522539304</v>
      </c>
      <c r="L100" s="28">
        <f t="shared" si="4"/>
        <v>19354.91929</v>
      </c>
      <c r="M100" s="60">
        <f t="shared" si="6"/>
        <v>-5969083.067</v>
      </c>
    </row>
    <row r="101" ht="12.75" customHeight="1">
      <c r="A101" s="49">
        <f t="shared" si="5"/>
        <v>97</v>
      </c>
      <c r="B101" s="28">
        <f>DCA_Forecast_Model!G102</f>
        <v>11530.22739</v>
      </c>
      <c r="C101" s="28">
        <f>DCA_Forecast_Model!H102</f>
        <v>148.4132757</v>
      </c>
      <c r="D101" s="29">
        <f>B101*'Economic Inputs Parameters'!$B$2</f>
        <v>34590.68217</v>
      </c>
      <c r="E101" s="29">
        <f>C101*'Economic Inputs Parameters'!$B$3</f>
        <v>10388.9293</v>
      </c>
      <c r="F101" s="29">
        <f t="shared" si="1"/>
        <v>44979.61148</v>
      </c>
      <c r="G101" s="28">
        <f>'Economic Inputs Parameters'!$B$4</f>
        <v>3000</v>
      </c>
      <c r="H101" s="28">
        <f t="shared" si="2"/>
        <v>41979.61148</v>
      </c>
      <c r="I101" s="29">
        <v>0.0</v>
      </c>
      <c r="J101" s="28">
        <f t="shared" si="3"/>
        <v>41979.61148</v>
      </c>
      <c r="K101" s="28">
        <f>1/(1+'Economic Inputs Parameters'!$B$5)^(A101)</f>
        <v>0.4485311221</v>
      </c>
      <c r="L101" s="28">
        <f t="shared" si="4"/>
        <v>18829.16224</v>
      </c>
      <c r="M101" s="60">
        <f t="shared" si="6"/>
        <v>-5950253.904</v>
      </c>
    </row>
    <row r="102" ht="12.75" customHeight="1">
      <c r="A102" s="49">
        <f t="shared" si="5"/>
        <v>98</v>
      </c>
      <c r="B102" s="28">
        <f>DCA_Forecast_Model!G103</f>
        <v>11324.54004</v>
      </c>
      <c r="C102" s="28">
        <f>DCA_Forecast_Model!H103</f>
        <v>145.7657361</v>
      </c>
      <c r="D102" s="29">
        <f>B102*'Economic Inputs Parameters'!$B$2</f>
        <v>33973.62011</v>
      </c>
      <c r="E102" s="29">
        <f>C102*'Economic Inputs Parameters'!$B$3</f>
        <v>10203.60153</v>
      </c>
      <c r="F102" s="29">
        <f t="shared" si="1"/>
        <v>44177.22164</v>
      </c>
      <c r="G102" s="28">
        <f>'Economic Inputs Parameters'!$B$4</f>
        <v>3000</v>
      </c>
      <c r="H102" s="28">
        <f t="shared" si="2"/>
        <v>41177.22164</v>
      </c>
      <c r="I102" s="29">
        <v>0.0</v>
      </c>
      <c r="J102" s="28">
        <f t="shared" si="3"/>
        <v>41177.22164</v>
      </c>
      <c r="K102" s="28">
        <f>1/(1+'Economic Inputs Parameters'!$B$5)^(A102)</f>
        <v>0.4448389587</v>
      </c>
      <c r="L102" s="28">
        <f t="shared" si="4"/>
        <v>18317.2324</v>
      </c>
      <c r="M102" s="60">
        <f t="shared" si="6"/>
        <v>-5931936.672</v>
      </c>
    </row>
    <row r="103" ht="12.75" customHeight="1">
      <c r="A103" s="49">
        <f t="shared" si="5"/>
        <v>99</v>
      </c>
      <c r="B103" s="28">
        <f>DCA_Forecast_Model!G104</f>
        <v>11122.52193</v>
      </c>
      <c r="C103" s="28">
        <f>DCA_Forecast_Model!H104</f>
        <v>143.1654259</v>
      </c>
      <c r="D103" s="29">
        <f>B103*'Economic Inputs Parameters'!$B$2</f>
        <v>33367.5658</v>
      </c>
      <c r="E103" s="29">
        <f>C103*'Economic Inputs Parameters'!$B$3</f>
        <v>10021.57981</v>
      </c>
      <c r="F103" s="29">
        <f t="shared" si="1"/>
        <v>43389.14561</v>
      </c>
      <c r="G103" s="28">
        <f>'Economic Inputs Parameters'!$B$4</f>
        <v>3000</v>
      </c>
      <c r="H103" s="28">
        <f t="shared" si="2"/>
        <v>40389.14561</v>
      </c>
      <c r="I103" s="29">
        <v>0.0</v>
      </c>
      <c r="J103" s="28">
        <f t="shared" si="3"/>
        <v>40389.14561</v>
      </c>
      <c r="K103" s="28">
        <f>1/(1+'Economic Inputs Parameters'!$B$5)^(A103)</f>
        <v>0.441177188</v>
      </c>
      <c r="L103" s="28">
        <f t="shared" si="4"/>
        <v>17818.76969</v>
      </c>
      <c r="M103" s="60">
        <f t="shared" si="6"/>
        <v>-5914117.902</v>
      </c>
    </row>
    <row r="104" ht="12.75" customHeight="1">
      <c r="A104" s="49">
        <f t="shared" si="5"/>
        <v>100</v>
      </c>
      <c r="B104" s="28">
        <f>DCA_Forecast_Model!G105</f>
        <v>10924.10763</v>
      </c>
      <c r="C104" s="28">
        <f>DCA_Forecast_Model!H105</f>
        <v>140.6115025</v>
      </c>
      <c r="D104" s="29">
        <f>B104*'Economic Inputs Parameters'!$B$2</f>
        <v>32772.32288</v>
      </c>
      <c r="E104" s="29">
        <f>C104*'Economic Inputs Parameters'!$B$3</f>
        <v>9842.805172</v>
      </c>
      <c r="F104" s="29">
        <f t="shared" si="1"/>
        <v>42615.12805</v>
      </c>
      <c r="G104" s="28">
        <f>'Economic Inputs Parameters'!$B$4</f>
        <v>3000</v>
      </c>
      <c r="H104" s="28">
        <f t="shared" si="2"/>
        <v>39615.12805</v>
      </c>
      <c r="I104" s="29">
        <v>0.0</v>
      </c>
      <c r="J104" s="28">
        <f t="shared" si="3"/>
        <v>39615.12805</v>
      </c>
      <c r="K104" s="28">
        <f>1/(1+'Economic Inputs Parameters'!$B$5)^(A104)</f>
        <v>0.4375455599</v>
      </c>
      <c r="L104" s="28">
        <f t="shared" si="4"/>
        <v>17333.42338</v>
      </c>
      <c r="M104" s="60">
        <f t="shared" si="6"/>
        <v>-5896784.479</v>
      </c>
    </row>
    <row r="105" ht="12.75" customHeight="1">
      <c r="A105" s="49">
        <f t="shared" si="5"/>
        <v>101</v>
      </c>
      <c r="B105" s="28">
        <f>DCA_Forecast_Model!G106</f>
        <v>10729.23282</v>
      </c>
      <c r="C105" s="28">
        <f>DCA_Forecast_Model!H106</f>
        <v>138.1031384</v>
      </c>
      <c r="D105" s="29">
        <f>B105*'Economic Inputs Parameters'!$B$2</f>
        <v>32187.69847</v>
      </c>
      <c r="E105" s="29">
        <f>C105*'Economic Inputs Parameters'!$B$3</f>
        <v>9667.219689</v>
      </c>
      <c r="F105" s="29">
        <f t="shared" si="1"/>
        <v>41854.91816</v>
      </c>
      <c r="G105" s="28">
        <f>'Economic Inputs Parameters'!$B$4</f>
        <v>3000</v>
      </c>
      <c r="H105" s="28">
        <f t="shared" si="2"/>
        <v>38854.91816</v>
      </c>
      <c r="I105" s="29">
        <v>0.0</v>
      </c>
      <c r="J105" s="28">
        <f t="shared" si="3"/>
        <v>38854.91816</v>
      </c>
      <c r="K105" s="28">
        <f>1/(1+'Economic Inputs Parameters'!$B$5)^(A105)</f>
        <v>0.4339438261</v>
      </c>
      <c r="L105" s="28">
        <f t="shared" si="4"/>
        <v>16860.85185</v>
      </c>
      <c r="M105" s="60">
        <f t="shared" si="6"/>
        <v>-5879923.627</v>
      </c>
    </row>
    <row r="106" ht="12.75" customHeight="1">
      <c r="A106" s="49">
        <f t="shared" si="5"/>
        <v>102</v>
      </c>
      <c r="B106" s="28">
        <f>DCA_Forecast_Model!G107</f>
        <v>10537.83439</v>
      </c>
      <c r="C106" s="28">
        <f>DCA_Forecast_Model!H107</f>
        <v>135.639521</v>
      </c>
      <c r="D106" s="29">
        <f>B106*'Economic Inputs Parameters'!$B$2</f>
        <v>31613.50316</v>
      </c>
      <c r="E106" s="29">
        <f>C106*'Economic Inputs Parameters'!$B$3</f>
        <v>9494.76647</v>
      </c>
      <c r="F106" s="29">
        <f t="shared" si="1"/>
        <v>41108.26963</v>
      </c>
      <c r="G106" s="28">
        <f>'Economic Inputs Parameters'!$B$4</f>
        <v>3000</v>
      </c>
      <c r="H106" s="28">
        <f t="shared" si="2"/>
        <v>38108.26963</v>
      </c>
      <c r="I106" s="29">
        <v>0.0</v>
      </c>
      <c r="J106" s="28">
        <f t="shared" si="3"/>
        <v>38108.26963</v>
      </c>
      <c r="K106" s="28">
        <f>1/(1+'Economic Inputs Parameters'!$B$5)^(A106)</f>
        <v>0.4303717407</v>
      </c>
      <c r="L106" s="28">
        <f t="shared" si="4"/>
        <v>16400.72233</v>
      </c>
      <c r="M106" s="60">
        <f t="shared" si="6"/>
        <v>-5863522.905</v>
      </c>
    </row>
    <row r="107" ht="12.75" customHeight="1">
      <c r="A107" s="49">
        <f t="shared" si="5"/>
        <v>103</v>
      </c>
      <c r="B107" s="28">
        <f>DCA_Forecast_Model!G108</f>
        <v>10349.8503</v>
      </c>
      <c r="C107" s="28">
        <f>DCA_Forecast_Model!H108</f>
        <v>133.219852</v>
      </c>
      <c r="D107" s="29">
        <f>B107*'Economic Inputs Parameters'!$B$2</f>
        <v>31049.5509</v>
      </c>
      <c r="E107" s="29">
        <f>C107*'Economic Inputs Parameters'!$B$3</f>
        <v>9325.389638</v>
      </c>
      <c r="F107" s="29">
        <f t="shared" si="1"/>
        <v>40374.94054</v>
      </c>
      <c r="G107" s="28">
        <f>'Economic Inputs Parameters'!$B$4</f>
        <v>3000</v>
      </c>
      <c r="H107" s="28">
        <f t="shared" si="2"/>
        <v>37374.94054</v>
      </c>
      <c r="I107" s="29">
        <v>0.0</v>
      </c>
      <c r="J107" s="28">
        <f t="shared" si="3"/>
        <v>37374.94054</v>
      </c>
      <c r="K107" s="28">
        <f>1/(1+'Economic Inputs Parameters'!$B$5)^(A107)</f>
        <v>0.4268290595</v>
      </c>
      <c r="L107" s="28">
        <f t="shared" si="4"/>
        <v>15952.71072</v>
      </c>
      <c r="M107" s="60">
        <f t="shared" si="6"/>
        <v>-5847570.194</v>
      </c>
    </row>
    <row r="108" ht="12.75" customHeight="1">
      <c r="A108" s="49">
        <f t="shared" si="5"/>
        <v>104</v>
      </c>
      <c r="B108" s="28">
        <f>DCA_Forecast_Model!G109</f>
        <v>10165.21966</v>
      </c>
      <c r="C108" s="28">
        <f>DCA_Forecast_Model!H109</f>
        <v>130.8433473</v>
      </c>
      <c r="D108" s="29">
        <f>B108*'Economic Inputs Parameters'!$B$2</f>
        <v>30495.65897</v>
      </c>
      <c r="E108" s="29">
        <f>C108*'Economic Inputs Parameters'!$B$3</f>
        <v>9159.034314</v>
      </c>
      <c r="F108" s="29">
        <f t="shared" si="1"/>
        <v>39654.69328</v>
      </c>
      <c r="G108" s="28">
        <f>'Economic Inputs Parameters'!$B$4</f>
        <v>3000</v>
      </c>
      <c r="H108" s="28">
        <f t="shared" si="2"/>
        <v>36654.69328</v>
      </c>
      <c r="I108" s="29">
        <v>0.0</v>
      </c>
      <c r="J108" s="28">
        <f t="shared" si="3"/>
        <v>36654.69328</v>
      </c>
      <c r="K108" s="28">
        <f>1/(1+'Economic Inputs Parameters'!$B$5)^(A108)</f>
        <v>0.4233155405</v>
      </c>
      <c r="L108" s="28">
        <f t="shared" si="4"/>
        <v>15516.5013</v>
      </c>
      <c r="M108" s="60">
        <f t="shared" si="6"/>
        <v>-5832053.693</v>
      </c>
    </row>
    <row r="109" ht="12.75" customHeight="1">
      <c r="A109" s="49">
        <f t="shared" si="5"/>
        <v>105</v>
      </c>
      <c r="B109" s="28">
        <f>DCA_Forecast_Model!G110</f>
        <v>9983.882631</v>
      </c>
      <c r="C109" s="28">
        <f>DCA_Forecast_Model!H110</f>
        <v>128.5092371</v>
      </c>
      <c r="D109" s="29">
        <f>B109*'Economic Inputs Parameters'!$B$2</f>
        <v>29951.64789</v>
      </c>
      <c r="E109" s="29">
        <f>C109*'Economic Inputs Parameters'!$B$3</f>
        <v>8995.646597</v>
      </c>
      <c r="F109" s="29">
        <f t="shared" si="1"/>
        <v>38947.29449</v>
      </c>
      <c r="G109" s="28">
        <f>'Economic Inputs Parameters'!$B$4</f>
        <v>3000</v>
      </c>
      <c r="H109" s="28">
        <f t="shared" si="2"/>
        <v>35947.29449</v>
      </c>
      <c r="I109" s="29">
        <v>0.0</v>
      </c>
      <c r="J109" s="28">
        <f t="shared" si="3"/>
        <v>35947.29449</v>
      </c>
      <c r="K109" s="28">
        <f>1/(1+'Economic Inputs Parameters'!$B$5)^(A109)</f>
        <v>0.4198309437</v>
      </c>
      <c r="L109" s="28">
        <f t="shared" si="4"/>
        <v>15091.78657</v>
      </c>
      <c r="M109" s="60">
        <f t="shared" si="6"/>
        <v>-5816961.906</v>
      </c>
    </row>
    <row r="110" ht="12.75" customHeight="1">
      <c r="A110" s="49">
        <f t="shared" si="5"/>
        <v>106</v>
      </c>
      <c r="B110" s="28">
        <f>DCA_Forecast_Model!G111</f>
        <v>9805.780471</v>
      </c>
      <c r="C110" s="28">
        <f>DCA_Forecast_Model!H111</f>
        <v>126.216765</v>
      </c>
      <c r="D110" s="29">
        <f>B110*'Economic Inputs Parameters'!$B$2</f>
        <v>29417.34141</v>
      </c>
      <c r="E110" s="29">
        <f>C110*'Economic Inputs Parameters'!$B$3</f>
        <v>8835.173549</v>
      </c>
      <c r="F110" s="29">
        <f t="shared" si="1"/>
        <v>38252.51496</v>
      </c>
      <c r="G110" s="28">
        <f>'Economic Inputs Parameters'!$B$4</f>
        <v>3000</v>
      </c>
      <c r="H110" s="28">
        <f t="shared" si="2"/>
        <v>35252.51496</v>
      </c>
      <c r="I110" s="29">
        <v>0.0</v>
      </c>
      <c r="J110" s="28">
        <f t="shared" si="3"/>
        <v>35252.51496</v>
      </c>
      <c r="K110" s="28">
        <f>1/(1+'Economic Inputs Parameters'!$B$5)^(A110)</f>
        <v>0.4163750309</v>
      </c>
      <c r="L110" s="28">
        <f t="shared" si="4"/>
        <v>14678.26701</v>
      </c>
      <c r="M110" s="60">
        <f t="shared" si="6"/>
        <v>-5802283.639</v>
      </c>
    </row>
    <row r="111" ht="12.75" customHeight="1">
      <c r="A111" s="49">
        <f t="shared" si="5"/>
        <v>107</v>
      </c>
      <c r="B111" s="28">
        <f>DCA_Forecast_Model!G112</f>
        <v>9630.855471</v>
      </c>
      <c r="C111" s="28">
        <f>DCA_Forecast_Model!H112</f>
        <v>123.9651882</v>
      </c>
      <c r="D111" s="29">
        <f>B111*'Economic Inputs Parameters'!$B$2</f>
        <v>28892.56641</v>
      </c>
      <c r="E111" s="29">
        <f>C111*'Economic Inputs Parameters'!$B$3</f>
        <v>8677.563174</v>
      </c>
      <c r="F111" s="29">
        <f t="shared" si="1"/>
        <v>37570.12959</v>
      </c>
      <c r="G111" s="28">
        <f>'Economic Inputs Parameters'!$B$4</f>
        <v>3000</v>
      </c>
      <c r="H111" s="28">
        <f t="shared" si="2"/>
        <v>34570.12959</v>
      </c>
      <c r="I111" s="29">
        <v>0.0</v>
      </c>
      <c r="J111" s="28">
        <f t="shared" si="3"/>
        <v>34570.12959</v>
      </c>
      <c r="K111" s="28">
        <f>1/(1+'Economic Inputs Parameters'!$B$5)^(A111)</f>
        <v>0.4129475661</v>
      </c>
      <c r="L111" s="28">
        <f t="shared" si="4"/>
        <v>14275.65087</v>
      </c>
      <c r="M111" s="60">
        <f t="shared" si="6"/>
        <v>-5788007.988</v>
      </c>
    </row>
    <row r="112" ht="12.75" customHeight="1">
      <c r="A112" s="49">
        <f t="shared" si="5"/>
        <v>108</v>
      </c>
      <c r="B112" s="28">
        <f>DCA_Forecast_Model!G113</f>
        <v>9459.050952</v>
      </c>
      <c r="C112" s="28">
        <f>DCA_Forecast_Model!H113</f>
        <v>121.7537772</v>
      </c>
      <c r="D112" s="29">
        <f>B112*'Economic Inputs Parameters'!$B$2</f>
        <v>28377.15286</v>
      </c>
      <c r="E112" s="29">
        <f>C112*'Economic Inputs Parameters'!$B$3</f>
        <v>8522.764405</v>
      </c>
      <c r="F112" s="29">
        <f t="shared" si="1"/>
        <v>36899.91726</v>
      </c>
      <c r="G112" s="28">
        <f>'Economic Inputs Parameters'!$B$4</f>
        <v>3000</v>
      </c>
      <c r="H112" s="28">
        <f t="shared" si="2"/>
        <v>33899.91726</v>
      </c>
      <c r="I112" s="29">
        <v>0.0</v>
      </c>
      <c r="J112" s="28">
        <f t="shared" si="3"/>
        <v>33899.91726</v>
      </c>
      <c r="K112" s="28">
        <f>1/(1+'Economic Inputs Parameters'!$B$5)^(A112)</f>
        <v>0.4095483151</v>
      </c>
      <c r="L112" s="28">
        <f t="shared" si="4"/>
        <v>13883.654</v>
      </c>
      <c r="M112" s="60">
        <f t="shared" si="6"/>
        <v>-5774124.334</v>
      </c>
    </row>
    <row r="113" ht="12.75" customHeight="1">
      <c r="A113" s="49">
        <f t="shared" si="5"/>
        <v>109</v>
      </c>
      <c r="B113" s="28">
        <f>DCA_Forecast_Model!G114</f>
        <v>9290.311248</v>
      </c>
      <c r="C113" s="28">
        <f>DCA_Forecast_Model!H114</f>
        <v>119.5818155</v>
      </c>
      <c r="D113" s="29">
        <f>B113*'Economic Inputs Parameters'!$B$2</f>
        <v>27870.93374</v>
      </c>
      <c r="E113" s="29">
        <f>C113*'Economic Inputs Parameters'!$B$3</f>
        <v>8370.727087</v>
      </c>
      <c r="F113" s="29">
        <f t="shared" si="1"/>
        <v>36241.66083</v>
      </c>
      <c r="G113" s="28">
        <f>'Economic Inputs Parameters'!$B$4</f>
        <v>3000</v>
      </c>
      <c r="H113" s="28">
        <f t="shared" si="2"/>
        <v>33241.66083</v>
      </c>
      <c r="I113" s="29">
        <v>0.0</v>
      </c>
      <c r="J113" s="28">
        <f t="shared" si="3"/>
        <v>33241.66083</v>
      </c>
      <c r="K113" s="28">
        <f>1/(1+'Economic Inputs Parameters'!$B$5)^(A113)</f>
        <v>0.4061770456</v>
      </c>
      <c r="L113" s="28">
        <f t="shared" si="4"/>
        <v>13501.99959</v>
      </c>
      <c r="M113" s="60">
        <f t="shared" si="6"/>
        <v>-5760622.335</v>
      </c>
    </row>
    <row r="114" ht="12.75" customHeight="1">
      <c r="A114" s="49">
        <f t="shared" si="5"/>
        <v>110</v>
      </c>
      <c r="B114" s="28">
        <f>DCA_Forecast_Model!G115</f>
        <v>9124.581686</v>
      </c>
      <c r="C114" s="28">
        <f>DCA_Forecast_Model!H115</f>
        <v>117.4485994</v>
      </c>
      <c r="D114" s="29">
        <f>B114*'Economic Inputs Parameters'!$B$2</f>
        <v>27373.74506</v>
      </c>
      <c r="E114" s="29">
        <f>C114*'Economic Inputs Parameters'!$B$3</f>
        <v>8221.401957</v>
      </c>
      <c r="F114" s="29">
        <f t="shared" si="1"/>
        <v>35595.14702</v>
      </c>
      <c r="G114" s="28">
        <f>'Economic Inputs Parameters'!$B$4</f>
        <v>3000</v>
      </c>
      <c r="H114" s="28">
        <f t="shared" si="2"/>
        <v>32595.14702</v>
      </c>
      <c r="I114" s="29">
        <v>0.0</v>
      </c>
      <c r="J114" s="28">
        <f t="shared" si="3"/>
        <v>32595.14702</v>
      </c>
      <c r="K114" s="28">
        <f>1/(1+'Economic Inputs Parameters'!$B$5)^(A114)</f>
        <v>0.4028335274</v>
      </c>
      <c r="L114" s="28">
        <f t="shared" si="4"/>
        <v>13130.41805</v>
      </c>
      <c r="M114" s="60">
        <f t="shared" si="6"/>
        <v>-5747491.917</v>
      </c>
    </row>
    <row r="115" ht="12.75" customHeight="1">
      <c r="A115" s="49">
        <f t="shared" si="5"/>
        <v>111</v>
      </c>
      <c r="B115" s="28">
        <f>DCA_Forecast_Model!G116</f>
        <v>8961.808569</v>
      </c>
      <c r="C115" s="28">
        <f>DCA_Forecast_Model!H116</f>
        <v>115.3534376</v>
      </c>
      <c r="D115" s="29">
        <f>B115*'Economic Inputs Parameters'!$B$2</f>
        <v>26885.42571</v>
      </c>
      <c r="E115" s="29">
        <f>C115*'Economic Inputs Parameters'!$B$3</f>
        <v>8074.740633</v>
      </c>
      <c r="F115" s="29">
        <f t="shared" si="1"/>
        <v>34960.16634</v>
      </c>
      <c r="G115" s="28">
        <f>'Economic Inputs Parameters'!$B$4</f>
        <v>3000</v>
      </c>
      <c r="H115" s="28">
        <f t="shared" si="2"/>
        <v>31960.16634</v>
      </c>
      <c r="I115" s="29">
        <v>0.0</v>
      </c>
      <c r="J115" s="28">
        <f t="shared" si="3"/>
        <v>31960.16634</v>
      </c>
      <c r="K115" s="28">
        <f>1/(1+'Economic Inputs Parameters'!$B$5)^(A115)</f>
        <v>0.3995175318</v>
      </c>
      <c r="L115" s="28">
        <f t="shared" si="4"/>
        <v>12768.64677</v>
      </c>
      <c r="M115" s="60">
        <f t="shared" si="6"/>
        <v>-5734723.27</v>
      </c>
    </row>
    <row r="116" ht="12.75" customHeight="1">
      <c r="A116" s="49">
        <f t="shared" si="5"/>
        <v>112</v>
      </c>
      <c r="B116" s="28">
        <f>DCA_Forecast_Model!G117</f>
        <v>8801.939156</v>
      </c>
      <c r="C116" s="28">
        <f>DCA_Forecast_Model!H117</f>
        <v>113.2956514</v>
      </c>
      <c r="D116" s="29">
        <f>B116*'Economic Inputs Parameters'!$B$2</f>
        <v>26405.81747</v>
      </c>
      <c r="E116" s="29">
        <f>C116*'Economic Inputs Parameters'!$B$3</f>
        <v>7930.695597</v>
      </c>
      <c r="F116" s="29">
        <f t="shared" si="1"/>
        <v>34336.51306</v>
      </c>
      <c r="G116" s="28">
        <f>'Economic Inputs Parameters'!$B$4</f>
        <v>3000</v>
      </c>
      <c r="H116" s="28">
        <f t="shared" si="2"/>
        <v>31336.51306</v>
      </c>
      <c r="I116" s="29">
        <v>0.0</v>
      </c>
      <c r="J116" s="28">
        <f t="shared" si="3"/>
        <v>31336.51306</v>
      </c>
      <c r="K116" s="28">
        <f>1/(1+'Economic Inputs Parameters'!$B$5)^(A116)</f>
        <v>0.3962288325</v>
      </c>
      <c r="L116" s="28">
        <f t="shared" si="4"/>
        <v>12416.42999</v>
      </c>
      <c r="M116" s="60">
        <f t="shared" si="6"/>
        <v>-5722306.84</v>
      </c>
    </row>
    <row r="117" ht="12.75" customHeight="1">
      <c r="A117" s="49">
        <f t="shared" si="5"/>
        <v>113</v>
      </c>
      <c r="B117" s="28">
        <f>DCA_Forecast_Model!G118</f>
        <v>8644.921648</v>
      </c>
      <c r="C117" s="28">
        <f>DCA_Forecast_Model!H118</f>
        <v>111.2745739</v>
      </c>
      <c r="D117" s="29">
        <f>B117*'Economic Inputs Parameters'!$B$2</f>
        <v>25934.76494</v>
      </c>
      <c r="E117" s="29">
        <f>C117*'Economic Inputs Parameters'!$B$3</f>
        <v>7789.220174</v>
      </c>
      <c r="F117" s="29">
        <f t="shared" si="1"/>
        <v>33723.98512</v>
      </c>
      <c r="G117" s="28">
        <f>'Economic Inputs Parameters'!$B$4</f>
        <v>3000</v>
      </c>
      <c r="H117" s="28">
        <f t="shared" si="2"/>
        <v>30723.98512</v>
      </c>
      <c r="I117" s="29">
        <v>0.0</v>
      </c>
      <c r="J117" s="28">
        <f t="shared" si="3"/>
        <v>30723.98512</v>
      </c>
      <c r="K117" s="28">
        <f>1/(1+'Economic Inputs Parameters'!$B$5)^(A117)</f>
        <v>0.3929672047</v>
      </c>
      <c r="L117" s="28">
        <f t="shared" si="4"/>
        <v>12073.51855</v>
      </c>
      <c r="M117" s="60">
        <f t="shared" si="6"/>
        <v>-5710233.321</v>
      </c>
    </row>
    <row r="118" ht="12.75" customHeight="1">
      <c r="A118" s="49">
        <f t="shared" si="5"/>
        <v>114</v>
      </c>
      <c r="B118" s="28">
        <f>DCA_Forecast_Model!G119</f>
        <v>8490.70517</v>
      </c>
      <c r="C118" s="28">
        <f>DCA_Forecast_Model!H119</f>
        <v>109.2895504</v>
      </c>
      <c r="D118" s="29">
        <f>B118*'Economic Inputs Parameters'!$B$2</f>
        <v>25472.11551</v>
      </c>
      <c r="E118" s="29">
        <f>C118*'Economic Inputs Parameters'!$B$3</f>
        <v>7650.268528</v>
      </c>
      <c r="F118" s="29">
        <f t="shared" si="1"/>
        <v>33122.38404</v>
      </c>
      <c r="G118" s="28">
        <f>'Economic Inputs Parameters'!$B$4</f>
        <v>3000</v>
      </c>
      <c r="H118" s="28">
        <f t="shared" si="2"/>
        <v>30122.38404</v>
      </c>
      <c r="I118" s="29">
        <v>0.0</v>
      </c>
      <c r="J118" s="28">
        <f t="shared" si="3"/>
        <v>30122.38404</v>
      </c>
      <c r="K118" s="28">
        <f>1/(1+'Economic Inputs Parameters'!$B$5)^(A118)</f>
        <v>0.3897324256</v>
      </c>
      <c r="L118" s="28">
        <f t="shared" si="4"/>
        <v>11739.6698</v>
      </c>
      <c r="M118" s="60">
        <f t="shared" si="6"/>
        <v>-5698493.652</v>
      </c>
    </row>
    <row r="119" ht="12.75" customHeight="1">
      <c r="A119" s="49">
        <f t="shared" si="5"/>
        <v>115</v>
      </c>
      <c r="B119" s="28">
        <f>DCA_Forecast_Model!G120</f>
        <v>8339.239756</v>
      </c>
      <c r="C119" s="28">
        <f>DCA_Forecast_Model!H120</f>
        <v>107.3399376</v>
      </c>
      <c r="D119" s="29">
        <f>B119*'Economic Inputs Parameters'!$B$2</f>
        <v>25017.71927</v>
      </c>
      <c r="E119" s="29">
        <f>C119*'Economic Inputs Parameters'!$B$3</f>
        <v>7513.795635</v>
      </c>
      <c r="F119" s="29">
        <f t="shared" si="1"/>
        <v>32531.5149</v>
      </c>
      <c r="G119" s="28">
        <f>'Economic Inputs Parameters'!$B$4</f>
        <v>3000</v>
      </c>
      <c r="H119" s="28">
        <f t="shared" si="2"/>
        <v>29531.5149</v>
      </c>
      <c r="I119" s="29">
        <v>0.0</v>
      </c>
      <c r="J119" s="28">
        <f t="shared" si="3"/>
        <v>29531.5149</v>
      </c>
      <c r="K119" s="28">
        <f>1/(1+'Economic Inputs Parameters'!$B$5)^(A119)</f>
        <v>0.3865242741</v>
      </c>
      <c r="L119" s="28">
        <f t="shared" si="4"/>
        <v>11414.64736</v>
      </c>
      <c r="M119" s="60">
        <f t="shared" si="6"/>
        <v>-5687079.004</v>
      </c>
    </row>
    <row r="120" ht="12.75" customHeight="1">
      <c r="A120" s="49">
        <f t="shared" si="5"/>
        <v>116</v>
      </c>
      <c r="B120" s="28">
        <f>DCA_Forecast_Model!G121</f>
        <v>8190.476327</v>
      </c>
      <c r="C120" s="28">
        <f>DCA_Forecast_Model!H121</f>
        <v>105.425104</v>
      </c>
      <c r="D120" s="29">
        <f>B120*'Economic Inputs Parameters'!$B$2</f>
        <v>24571.42898</v>
      </c>
      <c r="E120" s="29">
        <f>C120*'Economic Inputs Parameters'!$B$3</f>
        <v>7379.757278</v>
      </c>
      <c r="F120" s="29">
        <f t="shared" si="1"/>
        <v>31951.18626</v>
      </c>
      <c r="G120" s="28">
        <f>'Economic Inputs Parameters'!$B$4</f>
        <v>3000</v>
      </c>
      <c r="H120" s="28">
        <f t="shared" si="2"/>
        <v>28951.18626</v>
      </c>
      <c r="I120" s="29">
        <v>0.0</v>
      </c>
      <c r="J120" s="28">
        <f t="shared" si="3"/>
        <v>28951.18626</v>
      </c>
      <c r="K120" s="28">
        <f>1/(1+'Economic Inputs Parameters'!$B$5)^(A120)</f>
        <v>0.3833425311</v>
      </c>
      <c r="L120" s="28">
        <f t="shared" si="4"/>
        <v>11098.22102</v>
      </c>
      <c r="M120" s="60">
        <f t="shared" si="6"/>
        <v>-5675980.783</v>
      </c>
    </row>
    <row r="121" ht="12.75" customHeight="1">
      <c r="A121" s="49">
        <f t="shared" si="5"/>
        <v>117</v>
      </c>
      <c r="B121" s="28">
        <f>DCA_Forecast_Model!G122</f>
        <v>8044.366685</v>
      </c>
      <c r="C121" s="28">
        <f>DCA_Forecast_Model!H122</f>
        <v>103.544429</v>
      </c>
      <c r="D121" s="29">
        <f>B121*'Economic Inputs Parameters'!$B$2</f>
        <v>24133.10006</v>
      </c>
      <c r="E121" s="29">
        <f>C121*'Economic Inputs Parameters'!$B$3</f>
        <v>7248.110027</v>
      </c>
      <c r="F121" s="29">
        <f t="shared" si="1"/>
        <v>31381.21008</v>
      </c>
      <c r="G121" s="28">
        <f>'Economic Inputs Parameters'!$B$4</f>
        <v>3000</v>
      </c>
      <c r="H121" s="28">
        <f t="shared" si="2"/>
        <v>28381.21008</v>
      </c>
      <c r="I121" s="29">
        <v>0.0</v>
      </c>
      <c r="J121" s="28">
        <f t="shared" si="3"/>
        <v>28381.21008</v>
      </c>
      <c r="K121" s="28">
        <f>1/(1+'Economic Inputs Parameters'!$B$5)^(A121)</f>
        <v>0.3801869792</v>
      </c>
      <c r="L121" s="28">
        <f t="shared" si="4"/>
        <v>10790.16653</v>
      </c>
      <c r="M121" s="60">
        <f t="shared" si="6"/>
        <v>-5665190.617</v>
      </c>
    </row>
    <row r="122" ht="12.75" customHeight="1">
      <c r="A122" s="49">
        <f t="shared" si="5"/>
        <v>118</v>
      </c>
      <c r="B122" s="28">
        <f>DCA_Forecast_Model!G123</f>
        <v>7900.863488</v>
      </c>
      <c r="C122" s="28">
        <f>DCA_Forecast_Model!H123</f>
        <v>101.6973032</v>
      </c>
      <c r="D122" s="29">
        <f>B122*'Economic Inputs Parameters'!$B$2</f>
        <v>23702.59046</v>
      </c>
      <c r="E122" s="29">
        <f>C122*'Economic Inputs Parameters'!$B$3</f>
        <v>7118.811226</v>
      </c>
      <c r="F122" s="29">
        <f t="shared" si="1"/>
        <v>30821.40169</v>
      </c>
      <c r="G122" s="28">
        <f>'Economic Inputs Parameters'!$B$4</f>
        <v>3000</v>
      </c>
      <c r="H122" s="28">
        <f t="shared" si="2"/>
        <v>27821.40169</v>
      </c>
      <c r="I122" s="29">
        <v>0.0</v>
      </c>
      <c r="J122" s="28">
        <f t="shared" si="3"/>
        <v>27821.40169</v>
      </c>
      <c r="K122" s="28">
        <f>1/(1+'Economic Inputs Parameters'!$B$5)^(A122)</f>
        <v>0.3770574027</v>
      </c>
      <c r="L122" s="28">
        <f t="shared" si="4"/>
        <v>10490.26546</v>
      </c>
      <c r="M122" s="60">
        <f t="shared" si="6"/>
        <v>-5654700.351</v>
      </c>
    </row>
    <row r="123" ht="12.75" customHeight="1">
      <c r="A123" s="49">
        <f t="shared" si="5"/>
        <v>119</v>
      </c>
      <c r="B123" s="28">
        <f>DCA_Forecast_Model!G124</f>
        <v>7759.92024</v>
      </c>
      <c r="C123" s="28">
        <f>DCA_Forecast_Model!H124</f>
        <v>99.88312833</v>
      </c>
      <c r="D123" s="29">
        <f>B123*'Economic Inputs Parameters'!$B$2</f>
        <v>23279.76072</v>
      </c>
      <c r="E123" s="29">
        <f>C123*'Economic Inputs Parameters'!$B$3</f>
        <v>6991.818983</v>
      </c>
      <c r="F123" s="29">
        <f t="shared" si="1"/>
        <v>30271.5797</v>
      </c>
      <c r="G123" s="28">
        <f>'Economic Inputs Parameters'!$B$4</f>
        <v>3000</v>
      </c>
      <c r="H123" s="28">
        <f t="shared" si="2"/>
        <v>27271.5797</v>
      </c>
      <c r="I123" s="29">
        <v>0.0</v>
      </c>
      <c r="J123" s="28">
        <f t="shared" si="3"/>
        <v>27271.5797</v>
      </c>
      <c r="K123" s="28">
        <f>1/(1+'Economic Inputs Parameters'!$B$5)^(A123)</f>
        <v>0.373953588</v>
      </c>
      <c r="L123" s="28">
        <f t="shared" si="4"/>
        <v>10198.30508</v>
      </c>
      <c r="M123" s="60">
        <f t="shared" si="6"/>
        <v>-5644502.046</v>
      </c>
    </row>
    <row r="124" ht="12.75" customHeight="1">
      <c r="A124" s="49">
        <f t="shared" si="5"/>
        <v>120</v>
      </c>
      <c r="B124" s="28">
        <f>DCA_Forecast_Model!G125</f>
        <v>7621.491274</v>
      </c>
      <c r="C124" s="28">
        <f>DCA_Forecast_Model!H125</f>
        <v>98.10131644</v>
      </c>
      <c r="D124" s="29">
        <f>B124*'Economic Inputs Parameters'!$B$2</f>
        <v>22864.47382</v>
      </c>
      <c r="E124" s="29">
        <f>C124*'Economic Inputs Parameters'!$B$3</f>
        <v>6867.092151</v>
      </c>
      <c r="F124" s="29">
        <f t="shared" si="1"/>
        <v>29731.56597</v>
      </c>
      <c r="G124" s="28">
        <f>'Economic Inputs Parameters'!$B$4</f>
        <v>3000</v>
      </c>
      <c r="H124" s="28">
        <f t="shared" si="2"/>
        <v>26731.56597</v>
      </c>
      <c r="I124" s="29">
        <v>0.0</v>
      </c>
      <c r="J124" s="28">
        <f t="shared" si="3"/>
        <v>26731.56597</v>
      </c>
      <c r="K124" s="28">
        <f>1/(1+'Economic Inputs Parameters'!$B$5)^(A124)</f>
        <v>0.3708753228</v>
      </c>
      <c r="L124" s="28">
        <f t="shared" si="4"/>
        <v>9914.078159</v>
      </c>
      <c r="M124" s="60">
        <f t="shared" si="6"/>
        <v>-5634587.968</v>
      </c>
    </row>
    <row r="125" ht="12.75" customHeight="1">
      <c r="A125" s="49">
        <f t="shared" si="5"/>
        <v>121</v>
      </c>
      <c r="B125" s="28">
        <f>DCA_Forecast_Model!G126</f>
        <v>7485.531738</v>
      </c>
      <c r="C125" s="28">
        <f>DCA_Forecast_Model!H126</f>
        <v>96.35129023</v>
      </c>
      <c r="D125" s="29">
        <f>B125*'Economic Inputs Parameters'!$B$2</f>
        <v>22456.59521</v>
      </c>
      <c r="E125" s="29">
        <f>C125*'Economic Inputs Parameters'!$B$3</f>
        <v>6744.590316</v>
      </c>
      <c r="F125" s="29">
        <f t="shared" si="1"/>
        <v>29201.18553</v>
      </c>
      <c r="G125" s="28">
        <f>'Economic Inputs Parameters'!$B$4</f>
        <v>3000</v>
      </c>
      <c r="H125" s="28">
        <f t="shared" si="2"/>
        <v>26201.18553</v>
      </c>
      <c r="I125" s="29">
        <v>0.0</v>
      </c>
      <c r="J125" s="28">
        <f t="shared" si="3"/>
        <v>26201.18553</v>
      </c>
      <c r="K125" s="28">
        <f>1/(1+'Economic Inputs Parameters'!$B$5)^(A125)</f>
        <v>0.3678223969</v>
      </c>
      <c r="L125" s="28">
        <f t="shared" si="4"/>
        <v>9637.382863</v>
      </c>
      <c r="M125" s="60">
        <f t="shared" si="6"/>
        <v>-5624950.585</v>
      </c>
    </row>
    <row r="126" ht="12.75" customHeight="1">
      <c r="A126" s="49">
        <f t="shared" si="5"/>
        <v>122</v>
      </c>
      <c r="B126" s="28">
        <f>DCA_Forecast_Model!G127</f>
        <v>7351.997579</v>
      </c>
      <c r="C126" s="28">
        <f>DCA_Forecast_Model!H127</f>
        <v>94.63248268</v>
      </c>
      <c r="D126" s="29">
        <f>B126*'Economic Inputs Parameters'!$B$2</f>
        <v>22055.99274</v>
      </c>
      <c r="E126" s="29">
        <f>C126*'Economic Inputs Parameters'!$B$3</f>
        <v>6624.273788</v>
      </c>
      <c r="F126" s="29">
        <f t="shared" si="1"/>
        <v>28680.26653</v>
      </c>
      <c r="G126" s="28">
        <f>'Economic Inputs Parameters'!$B$4</f>
        <v>3000</v>
      </c>
      <c r="H126" s="28">
        <f t="shared" si="2"/>
        <v>25680.26653</v>
      </c>
      <c r="I126" s="29">
        <v>0.0</v>
      </c>
      <c r="J126" s="28">
        <f t="shared" si="3"/>
        <v>25680.26653</v>
      </c>
      <c r="K126" s="28">
        <f>1/(1+'Economic Inputs Parameters'!$B$5)^(A126)</f>
        <v>0.3647946017</v>
      </c>
      <c r="L126" s="28">
        <f t="shared" si="4"/>
        <v>9368.022599</v>
      </c>
      <c r="M126" s="60">
        <f t="shared" si="6"/>
        <v>-5615582.563</v>
      </c>
    </row>
    <row r="127" ht="12.75" customHeight="1">
      <c r="A127" s="49">
        <f t="shared" si="5"/>
        <v>123</v>
      </c>
      <c r="B127" s="28">
        <f>DCA_Forecast_Model!G128</f>
        <v>7220.845532</v>
      </c>
      <c r="C127" s="28">
        <f>DCA_Forecast_Model!H128</f>
        <v>92.94433688</v>
      </c>
      <c r="D127" s="29">
        <f>B127*'Economic Inputs Parameters'!$B$2</f>
        <v>21662.5366</v>
      </c>
      <c r="E127" s="29">
        <f>C127*'Economic Inputs Parameters'!$B$3</f>
        <v>6506.103582</v>
      </c>
      <c r="F127" s="29">
        <f t="shared" si="1"/>
        <v>28168.64018</v>
      </c>
      <c r="G127" s="28">
        <f>'Economic Inputs Parameters'!$B$4</f>
        <v>3000</v>
      </c>
      <c r="H127" s="28">
        <f t="shared" si="2"/>
        <v>25168.64018</v>
      </c>
      <c r="I127" s="29">
        <v>0.0</v>
      </c>
      <c r="J127" s="28">
        <f t="shared" si="3"/>
        <v>25168.64018</v>
      </c>
      <c r="K127" s="28">
        <f>1/(1+'Economic Inputs Parameters'!$B$5)^(A127)</f>
        <v>0.3617917303</v>
      </c>
      <c r="L127" s="28">
        <f t="shared" si="4"/>
        <v>9105.805881</v>
      </c>
      <c r="M127" s="60">
        <f t="shared" si="6"/>
        <v>-5606476.757</v>
      </c>
    </row>
    <row r="128" ht="12.75" customHeight="1">
      <c r="A128" s="49">
        <f t="shared" si="5"/>
        <v>124</v>
      </c>
      <c r="B128" s="28">
        <f>DCA_Forecast_Model!G129</f>
        <v>7092.033103</v>
      </c>
      <c r="C128" s="28">
        <f>DCA_Forecast_Model!H129</f>
        <v>91.28630587</v>
      </c>
      <c r="D128" s="29">
        <f>B128*'Economic Inputs Parameters'!$B$2</f>
        <v>21276.09931</v>
      </c>
      <c r="E128" s="29">
        <f>C128*'Economic Inputs Parameters'!$B$3</f>
        <v>6390.041411</v>
      </c>
      <c r="F128" s="29">
        <f t="shared" si="1"/>
        <v>27666.14072</v>
      </c>
      <c r="G128" s="28">
        <f>'Economic Inputs Parameters'!$B$4</f>
        <v>3000</v>
      </c>
      <c r="H128" s="28">
        <f t="shared" si="2"/>
        <v>24666.14072</v>
      </c>
      <c r="I128" s="29">
        <v>0.0</v>
      </c>
      <c r="J128" s="28">
        <f t="shared" si="3"/>
        <v>24666.14072</v>
      </c>
      <c r="K128" s="28">
        <f>1/(1+'Economic Inputs Parameters'!$B$5)^(A128)</f>
        <v>0.3588135776</v>
      </c>
      <c r="L128" s="28">
        <f t="shared" si="4"/>
        <v>8850.546198</v>
      </c>
      <c r="M128" s="60">
        <f t="shared" si="6"/>
        <v>-5597626.21</v>
      </c>
    </row>
    <row r="129" ht="12.75" customHeight="1">
      <c r="A129" s="49">
        <f t="shared" si="5"/>
        <v>125</v>
      </c>
      <c r="B129" s="28">
        <f>DCA_Forecast_Model!G130</f>
        <v>6965.518554</v>
      </c>
      <c r="C129" s="28">
        <f>DCA_Forecast_Model!H130</f>
        <v>89.65785241</v>
      </c>
      <c r="D129" s="29">
        <f>B129*'Economic Inputs Parameters'!$B$2</f>
        <v>20896.55566</v>
      </c>
      <c r="E129" s="29">
        <f>C129*'Economic Inputs Parameters'!$B$3</f>
        <v>6276.049669</v>
      </c>
      <c r="F129" s="29">
        <f t="shared" si="1"/>
        <v>27172.60533</v>
      </c>
      <c r="G129" s="28">
        <f>'Economic Inputs Parameters'!$B$4</f>
        <v>3000</v>
      </c>
      <c r="H129" s="28">
        <f t="shared" si="2"/>
        <v>24172.60533</v>
      </c>
      <c r="I129" s="29">
        <v>0.0</v>
      </c>
      <c r="J129" s="28">
        <f t="shared" si="3"/>
        <v>24172.60533</v>
      </c>
      <c r="K129" s="28">
        <f>1/(1+'Economic Inputs Parameters'!$B$5)^(A129)</f>
        <v>0.3558599401</v>
      </c>
      <c r="L129" s="28">
        <f t="shared" si="4"/>
        <v>8602.061885</v>
      </c>
      <c r="M129" s="60">
        <f t="shared" si="6"/>
        <v>-5589024.149</v>
      </c>
    </row>
    <row r="130" ht="12.75" customHeight="1">
      <c r="A130" s="49">
        <f t="shared" si="5"/>
        <v>126</v>
      </c>
      <c r="B130" s="28">
        <f>DCA_Forecast_Model!G131</f>
        <v>6841.260894</v>
      </c>
      <c r="C130" s="28">
        <f>DCA_Forecast_Model!H131</f>
        <v>88.05844888</v>
      </c>
      <c r="D130" s="29">
        <f>B130*'Economic Inputs Parameters'!$B$2</f>
        <v>20523.78268</v>
      </c>
      <c r="E130" s="29">
        <f>C130*'Economic Inputs Parameters'!$B$3</f>
        <v>6164.091422</v>
      </c>
      <c r="F130" s="29">
        <f t="shared" si="1"/>
        <v>26687.8741</v>
      </c>
      <c r="G130" s="28">
        <f>'Economic Inputs Parameters'!$B$4</f>
        <v>3000</v>
      </c>
      <c r="H130" s="28">
        <f t="shared" si="2"/>
        <v>23687.8741</v>
      </c>
      <c r="I130" s="29">
        <v>0.0</v>
      </c>
      <c r="J130" s="28">
        <f t="shared" si="3"/>
        <v>23687.8741</v>
      </c>
      <c r="K130" s="28">
        <f>1/(1+'Economic Inputs Parameters'!$B$5)^(A130)</f>
        <v>0.352930616</v>
      </c>
      <c r="L130" s="28">
        <f t="shared" si="4"/>
        <v>8360.175999</v>
      </c>
      <c r="M130" s="60">
        <f t="shared" si="6"/>
        <v>-5580663.973</v>
      </c>
    </row>
    <row r="131" ht="12.75" customHeight="1">
      <c r="A131" s="49">
        <f t="shared" si="5"/>
        <v>127</v>
      </c>
      <c r="B131" s="28">
        <f>DCA_Forecast_Model!G132</f>
        <v>6719.219862</v>
      </c>
      <c r="C131" s="28">
        <f>DCA_Forecast_Model!H132</f>
        <v>86.48757706</v>
      </c>
      <c r="D131" s="29">
        <f>B131*'Economic Inputs Parameters'!$B$2</f>
        <v>20157.65959</v>
      </c>
      <c r="E131" s="29">
        <f>C131*'Economic Inputs Parameters'!$B$3</f>
        <v>6054.130394</v>
      </c>
      <c r="F131" s="29">
        <f t="shared" si="1"/>
        <v>26211.78998</v>
      </c>
      <c r="G131" s="28">
        <f>'Economic Inputs Parameters'!$B$4</f>
        <v>3000</v>
      </c>
      <c r="H131" s="28">
        <f t="shared" si="2"/>
        <v>23211.78998</v>
      </c>
      <c r="I131" s="29">
        <v>0.0</v>
      </c>
      <c r="J131" s="28">
        <f t="shared" si="3"/>
        <v>23211.78998</v>
      </c>
      <c r="K131" s="28">
        <f>1/(1+'Economic Inputs Parameters'!$B$5)^(A131)</f>
        <v>0.3500254052</v>
      </c>
      <c r="L131" s="28">
        <f t="shared" si="4"/>
        <v>8124.716192</v>
      </c>
      <c r="M131" s="60">
        <f t="shared" si="6"/>
        <v>-5572539.256</v>
      </c>
    </row>
    <row r="132" ht="12.75" customHeight="1">
      <c r="A132" s="49">
        <f t="shared" si="5"/>
        <v>128</v>
      </c>
      <c r="B132" s="28">
        <f>DCA_Forecast_Model!G133</f>
        <v>6599.355916</v>
      </c>
      <c r="C132" s="28">
        <f>DCA_Forecast_Model!H133</f>
        <v>84.94472797</v>
      </c>
      <c r="D132" s="29">
        <f>B132*'Economic Inputs Parameters'!$B$2</f>
        <v>19798.06775</v>
      </c>
      <c r="E132" s="29">
        <f>C132*'Economic Inputs Parameters'!$B$3</f>
        <v>5946.130958</v>
      </c>
      <c r="F132" s="29">
        <f t="shared" si="1"/>
        <v>25744.19871</v>
      </c>
      <c r="G132" s="28">
        <f>'Economic Inputs Parameters'!$B$4</f>
        <v>3000</v>
      </c>
      <c r="H132" s="28">
        <f t="shared" si="2"/>
        <v>22744.19871</v>
      </c>
      <c r="I132" s="29">
        <v>0.0</v>
      </c>
      <c r="J132" s="28">
        <f t="shared" si="3"/>
        <v>22744.19871</v>
      </c>
      <c r="K132" s="28">
        <f>1/(1+'Economic Inputs Parameters'!$B$5)^(A132)</f>
        <v>0.3471441091</v>
      </c>
      <c r="L132" s="28">
        <f t="shared" si="4"/>
        <v>7895.514596</v>
      </c>
      <c r="M132" s="60">
        <f t="shared" si="6"/>
        <v>-5564643.742</v>
      </c>
    </row>
    <row r="133" ht="12.75" customHeight="1">
      <c r="A133" s="49">
        <f t="shared" si="5"/>
        <v>129</v>
      </c>
      <c r="B133" s="28">
        <f>DCA_Forecast_Model!G134</f>
        <v>6481.630219</v>
      </c>
      <c r="C133" s="28">
        <f>DCA_Forecast_Model!H134</f>
        <v>83.42940172</v>
      </c>
      <c r="D133" s="29">
        <f>B133*'Economic Inputs Parameters'!$B$2</f>
        <v>19444.89066</v>
      </c>
      <c r="E133" s="29">
        <f>C133*'Economic Inputs Parameters'!$B$3</f>
        <v>5840.05812</v>
      </c>
      <c r="F133" s="29">
        <f t="shared" si="1"/>
        <v>25284.94878</v>
      </c>
      <c r="G133" s="28">
        <f>'Economic Inputs Parameters'!$B$4</f>
        <v>3000</v>
      </c>
      <c r="H133" s="28">
        <f t="shared" si="2"/>
        <v>22284.94878</v>
      </c>
      <c r="I133" s="29">
        <v>0.0</v>
      </c>
      <c r="J133" s="28">
        <f t="shared" si="3"/>
        <v>22284.94878</v>
      </c>
      <c r="K133" s="28">
        <f>1/(1+'Economic Inputs Parameters'!$B$5)^(A133)</f>
        <v>0.3442865308</v>
      </c>
      <c r="L133" s="28">
        <f t="shared" si="4"/>
        <v>7672.407705</v>
      </c>
      <c r="M133" s="60">
        <f t="shared" si="6"/>
        <v>-5556971.334</v>
      </c>
    </row>
    <row r="134" ht="12.75" customHeight="1">
      <c r="A134" s="49">
        <f t="shared" si="5"/>
        <v>130</v>
      </c>
      <c r="B134" s="28">
        <f>DCA_Forecast_Model!G135</f>
        <v>6366.004628</v>
      </c>
      <c r="C134" s="28">
        <f>DCA_Forecast_Model!H135</f>
        <v>81.94110732</v>
      </c>
      <c r="D134" s="29">
        <f>B134*'Economic Inputs Parameters'!$B$2</f>
        <v>19098.01388</v>
      </c>
      <c r="E134" s="29">
        <f>C134*'Economic Inputs Parameters'!$B$3</f>
        <v>5735.877512</v>
      </c>
      <c r="F134" s="29">
        <f t="shared" si="1"/>
        <v>24833.8914</v>
      </c>
      <c r="G134" s="28">
        <f>'Economic Inputs Parameters'!$B$4</f>
        <v>3000</v>
      </c>
      <c r="H134" s="28">
        <f t="shared" si="2"/>
        <v>21833.8914</v>
      </c>
      <c r="I134" s="29">
        <v>0.0</v>
      </c>
      <c r="J134" s="28">
        <f t="shared" si="3"/>
        <v>21833.8914</v>
      </c>
      <c r="K134" s="28">
        <f>1/(1+'Economic Inputs Parameters'!$B$5)^(A134)</f>
        <v>0.3414524753</v>
      </c>
      <c r="L134" s="28">
        <f t="shared" si="4"/>
        <v>7455.236263</v>
      </c>
      <c r="M134" s="60">
        <f t="shared" si="6"/>
        <v>-5549516.098</v>
      </c>
    </row>
    <row r="135" ht="12.75" customHeight="1">
      <c r="A135" s="49">
        <f t="shared" si="5"/>
        <v>131</v>
      </c>
      <c r="B135" s="28">
        <f>DCA_Forecast_Model!G136</f>
        <v>6252.441677</v>
      </c>
      <c r="C135" s="28">
        <f>DCA_Forecast_Model!H136</f>
        <v>80.47936256</v>
      </c>
      <c r="D135" s="29">
        <f>B135*'Economic Inputs Parameters'!$B$2</f>
        <v>18757.32503</v>
      </c>
      <c r="E135" s="29">
        <f>C135*'Economic Inputs Parameters'!$B$3</f>
        <v>5633.555379</v>
      </c>
      <c r="F135" s="29">
        <f t="shared" si="1"/>
        <v>24390.88041</v>
      </c>
      <c r="G135" s="28">
        <f>'Economic Inputs Parameters'!$B$4</f>
        <v>3000</v>
      </c>
      <c r="H135" s="28">
        <f t="shared" si="2"/>
        <v>21390.88041</v>
      </c>
      <c r="I135" s="29">
        <v>0.0</v>
      </c>
      <c r="J135" s="28">
        <f t="shared" si="3"/>
        <v>21390.88041</v>
      </c>
      <c r="K135" s="28">
        <f>1/(1+'Economic Inputs Parameters'!$B$5)^(A135)</f>
        <v>0.3386417488</v>
      </c>
      <c r="L135" s="28">
        <f t="shared" si="4"/>
        <v>7243.84515</v>
      </c>
      <c r="M135" s="60">
        <f t="shared" si="6"/>
        <v>-5542272.253</v>
      </c>
    </row>
    <row r="136" ht="12.75" customHeight="1">
      <c r="A136" s="49">
        <f t="shared" si="5"/>
        <v>132</v>
      </c>
      <c r="B136" s="28">
        <f>DCA_Forecast_Model!G137</f>
        <v>6140.904572</v>
      </c>
      <c r="C136" s="28">
        <f>DCA_Forecast_Model!H137</f>
        <v>79.04369381</v>
      </c>
      <c r="D136" s="29">
        <f>B136*'Economic Inputs Parameters'!$B$2</f>
        <v>18422.71372</v>
      </c>
      <c r="E136" s="29">
        <f>C136*'Economic Inputs Parameters'!$B$3</f>
        <v>5533.058567</v>
      </c>
      <c r="F136" s="29">
        <f t="shared" si="1"/>
        <v>23955.77228</v>
      </c>
      <c r="G136" s="28">
        <f>'Economic Inputs Parameters'!$B$4</f>
        <v>3000</v>
      </c>
      <c r="H136" s="28">
        <f t="shared" si="2"/>
        <v>20955.77228</v>
      </c>
      <c r="I136" s="29">
        <v>0.0</v>
      </c>
      <c r="J136" s="28">
        <f t="shared" si="3"/>
        <v>20955.77228</v>
      </c>
      <c r="K136" s="28">
        <f>1/(1+'Economic Inputs Parameters'!$B$5)^(A136)</f>
        <v>0.3358541593</v>
      </c>
      <c r="L136" s="28">
        <f t="shared" si="4"/>
        <v>7038.083282</v>
      </c>
      <c r="M136" s="60">
        <f t="shared" si="6"/>
        <v>-5535234.169</v>
      </c>
    </row>
    <row r="137" ht="12.75" customHeight="1">
      <c r="A137" s="49">
        <f t="shared" si="5"/>
        <v>133</v>
      </c>
      <c r="B137" s="28">
        <f>DCA_Forecast_Model!G138</f>
        <v>6031.357174</v>
      </c>
      <c r="C137" s="28">
        <f>DCA_Forecast_Model!H138</f>
        <v>77.63363592</v>
      </c>
      <c r="D137" s="29">
        <f>B137*'Economic Inputs Parameters'!$B$2</f>
        <v>18094.07152</v>
      </c>
      <c r="E137" s="29">
        <f>C137*'Economic Inputs Parameters'!$B$3</f>
        <v>5434.354514</v>
      </c>
      <c r="F137" s="29">
        <f t="shared" si="1"/>
        <v>23528.42604</v>
      </c>
      <c r="G137" s="28">
        <f>'Economic Inputs Parameters'!$B$4</f>
        <v>3000</v>
      </c>
      <c r="H137" s="28">
        <f t="shared" si="2"/>
        <v>20528.42604</v>
      </c>
      <c r="I137" s="29">
        <v>0.0</v>
      </c>
      <c r="J137" s="28">
        <f t="shared" si="3"/>
        <v>20528.42604</v>
      </c>
      <c r="K137" s="28">
        <f>1/(1+'Economic Inputs Parameters'!$B$5)^(A137)</f>
        <v>0.3330895163</v>
      </c>
      <c r="L137" s="28">
        <f t="shared" si="4"/>
        <v>6837.803499</v>
      </c>
      <c r="M137" s="60">
        <f t="shared" si="6"/>
        <v>-5528396.366</v>
      </c>
    </row>
    <row r="138" ht="12.75" customHeight="1">
      <c r="A138" s="49">
        <f t="shared" si="5"/>
        <v>134</v>
      </c>
      <c r="B138" s="28">
        <f>DCA_Forecast_Model!G139</f>
        <v>5923.763989</v>
      </c>
      <c r="C138" s="28">
        <f>DCA_Forecast_Model!H139</f>
        <v>76.248732</v>
      </c>
      <c r="D138" s="29">
        <f>B138*'Economic Inputs Parameters'!$B$2</f>
        <v>17771.29197</v>
      </c>
      <c r="E138" s="29">
        <f>C138*'Economic Inputs Parameters'!$B$3</f>
        <v>5337.41124</v>
      </c>
      <c r="F138" s="29">
        <f t="shared" si="1"/>
        <v>23108.70321</v>
      </c>
      <c r="G138" s="28">
        <f>'Economic Inputs Parameters'!$B$4</f>
        <v>3000</v>
      </c>
      <c r="H138" s="28">
        <f t="shared" si="2"/>
        <v>20108.70321</v>
      </c>
      <c r="I138" s="29">
        <v>0.0</v>
      </c>
      <c r="J138" s="28">
        <f t="shared" si="3"/>
        <v>20108.70321</v>
      </c>
      <c r="K138" s="28">
        <f>1/(1+'Economic Inputs Parameters'!$B$5)^(A138)</f>
        <v>0.3303476309</v>
      </c>
      <c r="L138" s="28">
        <f t="shared" si="4"/>
        <v>6642.862466</v>
      </c>
      <c r="M138" s="60">
        <f t="shared" si="6"/>
        <v>-5521753.503</v>
      </c>
    </row>
    <row r="139" ht="12.75" customHeight="1">
      <c r="A139" s="49">
        <f t="shared" si="5"/>
        <v>135</v>
      </c>
      <c r="B139" s="28">
        <f>DCA_Forecast_Model!G140</f>
        <v>5818.090155</v>
      </c>
      <c r="C139" s="28">
        <f>DCA_Forecast_Model!H140</f>
        <v>74.88853334</v>
      </c>
      <c r="D139" s="29">
        <f>B139*'Economic Inputs Parameters'!$B$2</f>
        <v>17454.27046</v>
      </c>
      <c r="E139" s="29">
        <f>C139*'Economic Inputs Parameters'!$B$3</f>
        <v>5242.197334</v>
      </c>
      <c r="F139" s="29">
        <f t="shared" si="1"/>
        <v>22696.4678</v>
      </c>
      <c r="G139" s="28">
        <f>'Economic Inputs Parameters'!$B$4</f>
        <v>3000</v>
      </c>
      <c r="H139" s="28">
        <f t="shared" si="2"/>
        <v>19696.4678</v>
      </c>
      <c r="I139" s="29">
        <v>0.0</v>
      </c>
      <c r="J139" s="28">
        <f t="shared" si="3"/>
        <v>19696.4678</v>
      </c>
      <c r="K139" s="28">
        <f>1/(1+'Economic Inputs Parameters'!$B$5)^(A139)</f>
        <v>0.3276283159</v>
      </c>
      <c r="L139" s="28">
        <f t="shared" si="4"/>
        <v>6453.120574</v>
      </c>
      <c r="M139" s="60">
        <f t="shared" si="6"/>
        <v>-5515300.383</v>
      </c>
    </row>
    <row r="140" ht="12.75" customHeight="1">
      <c r="A140" s="49">
        <f t="shared" si="5"/>
        <v>136</v>
      </c>
      <c r="B140" s="28">
        <f>DCA_Forecast_Model!G141</f>
        <v>5714.301433</v>
      </c>
      <c r="C140" s="28">
        <f>DCA_Forecast_Model!H141</f>
        <v>73.55259921</v>
      </c>
      <c r="D140" s="29">
        <f>B140*'Economic Inputs Parameters'!$B$2</f>
        <v>17142.9043</v>
      </c>
      <c r="E140" s="29">
        <f>C140*'Economic Inputs Parameters'!$B$3</f>
        <v>5148.681945</v>
      </c>
      <c r="F140" s="29">
        <f t="shared" si="1"/>
        <v>22291.58624</v>
      </c>
      <c r="G140" s="28">
        <f>'Economic Inputs Parameters'!$B$4</f>
        <v>3000</v>
      </c>
      <c r="H140" s="28">
        <f t="shared" si="2"/>
        <v>19291.58624</v>
      </c>
      <c r="I140" s="29">
        <v>0.0</v>
      </c>
      <c r="J140" s="28">
        <f t="shared" si="3"/>
        <v>19291.58624</v>
      </c>
      <c r="K140" s="28">
        <f>1/(1+'Economic Inputs Parameters'!$B$5)^(A140)</f>
        <v>0.3249313854</v>
      </c>
      <c r="L140" s="28">
        <f t="shared" si="4"/>
        <v>6268.441845</v>
      </c>
      <c r="M140" s="60">
        <f t="shared" si="6"/>
        <v>-5509031.941</v>
      </c>
    </row>
    <row r="141" ht="12.75" customHeight="1">
      <c r="A141" s="49">
        <f t="shared" si="5"/>
        <v>137</v>
      </c>
      <c r="B141" s="28">
        <f>DCA_Forecast_Model!G142</f>
        <v>5612.364195</v>
      </c>
      <c r="C141" s="28">
        <f>DCA_Forecast_Model!H142</f>
        <v>72.24049678</v>
      </c>
      <c r="D141" s="29">
        <f>B141*'Economic Inputs Parameters'!$B$2</f>
        <v>16837.09258</v>
      </c>
      <c r="E141" s="29">
        <f>C141*'Economic Inputs Parameters'!$B$3</f>
        <v>5056.834774</v>
      </c>
      <c r="F141" s="29">
        <f t="shared" si="1"/>
        <v>21893.92736</v>
      </c>
      <c r="G141" s="28">
        <f>'Economic Inputs Parameters'!$B$4</f>
        <v>3000</v>
      </c>
      <c r="H141" s="28">
        <f t="shared" si="2"/>
        <v>18893.92736</v>
      </c>
      <c r="I141" s="29">
        <v>0.0</v>
      </c>
      <c r="J141" s="28">
        <f t="shared" si="3"/>
        <v>18893.92736</v>
      </c>
      <c r="K141" s="28">
        <f>1/(1+'Economic Inputs Parameters'!$B$5)^(A141)</f>
        <v>0.3222566552</v>
      </c>
      <c r="L141" s="28">
        <f t="shared" si="4"/>
        <v>6088.693834</v>
      </c>
      <c r="M141" s="60">
        <f t="shared" si="6"/>
        <v>-5502943.247</v>
      </c>
    </row>
    <row r="142" ht="12.75" customHeight="1">
      <c r="A142" s="49">
        <f t="shared" si="5"/>
        <v>138</v>
      </c>
      <c r="B142" s="28">
        <f>DCA_Forecast_Model!G143</f>
        <v>5512.245411</v>
      </c>
      <c r="C142" s="28">
        <f>DCA_Forecast_Model!H143</f>
        <v>70.95180089</v>
      </c>
      <c r="D142" s="29">
        <f>B142*'Economic Inputs Parameters'!$B$2</f>
        <v>16536.73623</v>
      </c>
      <c r="E142" s="29">
        <f>C142*'Economic Inputs Parameters'!$B$3</f>
        <v>4966.626062</v>
      </c>
      <c r="F142" s="29">
        <f t="shared" si="1"/>
        <v>21503.3623</v>
      </c>
      <c r="G142" s="28">
        <f>'Economic Inputs Parameters'!$B$4</f>
        <v>3000</v>
      </c>
      <c r="H142" s="28">
        <f t="shared" si="2"/>
        <v>18503.3623</v>
      </c>
      <c r="I142" s="29">
        <v>0.0</v>
      </c>
      <c r="J142" s="28">
        <f t="shared" si="3"/>
        <v>18503.3623</v>
      </c>
      <c r="K142" s="28">
        <f>1/(1+'Economic Inputs Parameters'!$B$5)^(A142)</f>
        <v>0.3196039425</v>
      </c>
      <c r="L142" s="28">
        <f t="shared" si="4"/>
        <v>5913.747539</v>
      </c>
      <c r="M142" s="60">
        <f t="shared" si="6"/>
        <v>-5497029.5</v>
      </c>
    </row>
    <row r="143" ht="12.75" customHeight="1">
      <c r="A143" s="49">
        <f t="shared" si="5"/>
        <v>139</v>
      </c>
      <c r="B143" s="28">
        <f>DCA_Forecast_Model!G144</f>
        <v>5413.912644</v>
      </c>
      <c r="C143" s="28">
        <f>DCA_Forecast_Model!H144</f>
        <v>69.68609401</v>
      </c>
      <c r="D143" s="29">
        <f>B143*'Economic Inputs Parameters'!$B$2</f>
        <v>16241.73793</v>
      </c>
      <c r="E143" s="29">
        <f>C143*'Economic Inputs Parameters'!$B$3</f>
        <v>4878.026581</v>
      </c>
      <c r="F143" s="29">
        <f t="shared" si="1"/>
        <v>21119.76451</v>
      </c>
      <c r="G143" s="28">
        <f>'Economic Inputs Parameters'!$B$4</f>
        <v>3000</v>
      </c>
      <c r="H143" s="28">
        <f t="shared" si="2"/>
        <v>18119.76451</v>
      </c>
      <c r="I143" s="29">
        <v>0.0</v>
      </c>
      <c r="J143" s="28">
        <f t="shared" si="3"/>
        <v>18119.76451</v>
      </c>
      <c r="K143" s="28">
        <f>1/(1+'Economic Inputs Parameters'!$B$5)^(A143)</f>
        <v>0.316973066</v>
      </c>
      <c r="L143" s="28">
        <f t="shared" si="4"/>
        <v>5743.477313</v>
      </c>
      <c r="M143" s="60">
        <f t="shared" si="6"/>
        <v>-5491286.022</v>
      </c>
    </row>
    <row r="144" ht="12.75" customHeight="1">
      <c r="A144" s="49">
        <f t="shared" si="5"/>
        <v>140</v>
      </c>
      <c r="B144" s="28">
        <f>DCA_Forecast_Model!G145</f>
        <v>5317.334031</v>
      </c>
      <c r="C144" s="28">
        <f>DCA_Forecast_Model!H145</f>
        <v>68.44296603</v>
      </c>
      <c r="D144" s="29">
        <f>B144*'Economic Inputs Parameters'!$B$2</f>
        <v>15952.00209</v>
      </c>
      <c r="E144" s="29">
        <f>C144*'Economic Inputs Parameters'!$B$3</f>
        <v>4791.007622</v>
      </c>
      <c r="F144" s="29">
        <f t="shared" si="1"/>
        <v>20743.00972</v>
      </c>
      <c r="G144" s="28">
        <f>'Economic Inputs Parameters'!$B$4</f>
        <v>3000</v>
      </c>
      <c r="H144" s="28">
        <f t="shared" si="2"/>
        <v>17743.00972</v>
      </c>
      <c r="I144" s="29">
        <v>0.0</v>
      </c>
      <c r="J144" s="28">
        <f t="shared" si="3"/>
        <v>17743.00972</v>
      </c>
      <c r="K144" s="28">
        <f>1/(1+'Economic Inputs Parameters'!$B$5)^(A144)</f>
        <v>0.3143638461</v>
      </c>
      <c r="L144" s="28">
        <f t="shared" si="4"/>
        <v>5577.760776</v>
      </c>
      <c r="M144" s="60">
        <f t="shared" si="6"/>
        <v>-5485708.262</v>
      </c>
    </row>
    <row r="145" ht="12.75" customHeight="1">
      <c r="A145" s="49">
        <f t="shared" si="5"/>
        <v>141</v>
      </c>
      <c r="B145" s="28">
        <f>DCA_Forecast_Model!G146</f>
        <v>5222.478282</v>
      </c>
      <c r="C145" s="28">
        <f>DCA_Forecast_Model!H146</f>
        <v>67.22201418</v>
      </c>
      <c r="D145" s="29">
        <f>B145*'Economic Inputs Parameters'!$B$2</f>
        <v>15667.43484</v>
      </c>
      <c r="E145" s="29">
        <f>C145*'Economic Inputs Parameters'!$B$3</f>
        <v>4705.540992</v>
      </c>
      <c r="F145" s="29">
        <f t="shared" si="1"/>
        <v>20372.97584</v>
      </c>
      <c r="G145" s="28">
        <f>'Economic Inputs Parameters'!$B$4</f>
        <v>3000</v>
      </c>
      <c r="H145" s="28">
        <f t="shared" si="2"/>
        <v>17372.97584</v>
      </c>
      <c r="I145" s="29">
        <v>0.0</v>
      </c>
      <c r="J145" s="28">
        <f t="shared" si="3"/>
        <v>17372.97584</v>
      </c>
      <c r="K145" s="28">
        <f>1/(1+'Economic Inputs Parameters'!$B$5)^(A145)</f>
        <v>0.3117761044</v>
      </c>
      <c r="L145" s="28">
        <f t="shared" si="4"/>
        <v>5416.478729</v>
      </c>
      <c r="M145" s="60">
        <f t="shared" si="6"/>
        <v>-5480291.783</v>
      </c>
    </row>
    <row r="146" ht="12.75" customHeight="1">
      <c r="A146" s="49">
        <f t="shared" si="5"/>
        <v>142</v>
      </c>
      <c r="B146" s="28">
        <f>DCA_Forecast_Model!G147</f>
        <v>5129.31466</v>
      </c>
      <c r="C146" s="28">
        <f>DCA_Forecast_Model!H147</f>
        <v>66.02284284</v>
      </c>
      <c r="D146" s="29">
        <f>B146*'Economic Inputs Parameters'!$B$2</f>
        <v>15387.94398</v>
      </c>
      <c r="E146" s="29">
        <f>C146*'Economic Inputs Parameters'!$B$3</f>
        <v>4621.598999</v>
      </c>
      <c r="F146" s="29">
        <f t="shared" si="1"/>
        <v>20009.54298</v>
      </c>
      <c r="G146" s="28">
        <f>'Economic Inputs Parameters'!$B$4</f>
        <v>3000</v>
      </c>
      <c r="H146" s="28">
        <f t="shared" si="2"/>
        <v>17009.54298</v>
      </c>
      <c r="I146" s="29">
        <v>0.0</v>
      </c>
      <c r="J146" s="28">
        <f t="shared" si="3"/>
        <v>17009.54298</v>
      </c>
      <c r="K146" s="28">
        <f>1/(1+'Economic Inputs Parameters'!$B$5)^(A146)</f>
        <v>0.3092096642</v>
      </c>
      <c r="L146" s="28">
        <f t="shared" si="4"/>
        <v>5259.515073</v>
      </c>
      <c r="M146" s="60">
        <f t="shared" si="6"/>
        <v>-5475032.268</v>
      </c>
    </row>
    <row r="147" ht="12.75" customHeight="1">
      <c r="A147" s="49">
        <f t="shared" si="5"/>
        <v>143</v>
      </c>
      <c r="B147" s="28">
        <f>DCA_Forecast_Model!G148</f>
        <v>5037.812982</v>
      </c>
      <c r="C147" s="28">
        <f>DCA_Forecast_Model!H148</f>
        <v>64.84506349</v>
      </c>
      <c r="D147" s="29">
        <f>B147*'Economic Inputs Parameters'!$B$2</f>
        <v>15113.43895</v>
      </c>
      <c r="E147" s="29">
        <f>C147*'Economic Inputs Parameters'!$B$3</f>
        <v>4539.154444</v>
      </c>
      <c r="F147" s="29">
        <f t="shared" si="1"/>
        <v>19652.59339</v>
      </c>
      <c r="G147" s="28">
        <f>'Economic Inputs Parameters'!$B$4</f>
        <v>3000</v>
      </c>
      <c r="H147" s="28">
        <f t="shared" si="2"/>
        <v>16652.59339</v>
      </c>
      <c r="I147" s="29">
        <v>0.0</v>
      </c>
      <c r="J147" s="28">
        <f t="shared" si="3"/>
        <v>16652.59339</v>
      </c>
      <c r="K147" s="28">
        <f>1/(1+'Economic Inputs Parameters'!$B$5)^(A147)</f>
        <v>0.3066643501</v>
      </c>
      <c r="L147" s="28">
        <f t="shared" si="4"/>
        <v>5106.75673</v>
      </c>
      <c r="M147" s="60">
        <f t="shared" si="6"/>
        <v>-5469925.511</v>
      </c>
    </row>
    <row r="148" ht="12.75" customHeight="1">
      <c r="A148" s="49">
        <f t="shared" si="5"/>
        <v>144</v>
      </c>
      <c r="B148" s="28">
        <f>DCA_Forecast_Model!G149</f>
        <v>4947.943599</v>
      </c>
      <c r="C148" s="28">
        <f>DCA_Forecast_Model!H149</f>
        <v>63.6882945</v>
      </c>
      <c r="D148" s="29">
        <f>B148*'Economic Inputs Parameters'!$B$2</f>
        <v>14843.8308</v>
      </c>
      <c r="E148" s="29">
        <f>C148*'Economic Inputs Parameters'!$B$3</f>
        <v>4458.180615</v>
      </c>
      <c r="F148" s="29">
        <f t="shared" si="1"/>
        <v>19302.01141</v>
      </c>
      <c r="G148" s="28">
        <f>'Economic Inputs Parameters'!$B$4</f>
        <v>3000</v>
      </c>
      <c r="H148" s="28">
        <f t="shared" si="2"/>
        <v>16302.01141</v>
      </c>
      <c r="I148" s="29">
        <v>0.0</v>
      </c>
      <c r="J148" s="28">
        <f t="shared" si="3"/>
        <v>16302.01141</v>
      </c>
      <c r="K148" s="28">
        <f>1/(1+'Economic Inputs Parameters'!$B$5)^(A148)</f>
        <v>0.3041399882</v>
      </c>
      <c r="L148" s="28">
        <f t="shared" si="4"/>
        <v>4958.093559</v>
      </c>
      <c r="M148" s="60">
        <f t="shared" si="6"/>
        <v>-5464967.417</v>
      </c>
    </row>
    <row r="149" ht="12.75" customHeight="1">
      <c r="A149" s="49">
        <f t="shared" si="5"/>
        <v>145</v>
      </c>
      <c r="B149" s="28">
        <f>DCA_Forecast_Model!G150</f>
        <v>4859.677394</v>
      </c>
      <c r="C149" s="28">
        <f>DCA_Forecast_Model!H150</f>
        <v>62.55216107</v>
      </c>
      <c r="D149" s="29">
        <f>B149*'Economic Inputs Parameters'!$B$2</f>
        <v>14579.03218</v>
      </c>
      <c r="E149" s="29">
        <f>C149*'Economic Inputs Parameters'!$B$3</f>
        <v>4378.651275</v>
      </c>
      <c r="F149" s="29">
        <f t="shared" si="1"/>
        <v>18957.68346</v>
      </c>
      <c r="G149" s="28">
        <f>'Economic Inputs Parameters'!$B$4</f>
        <v>3000</v>
      </c>
      <c r="H149" s="28">
        <f t="shared" si="2"/>
        <v>15957.68346</v>
      </c>
      <c r="I149" s="29">
        <v>0.0</v>
      </c>
      <c r="J149" s="28">
        <f t="shared" si="3"/>
        <v>15957.68346</v>
      </c>
      <c r="K149" s="28">
        <f>1/(1+'Economic Inputs Parameters'!$B$5)^(A149)</f>
        <v>0.301636406</v>
      </c>
      <c r="L149" s="28">
        <f t="shared" si="4"/>
        <v>4813.418286</v>
      </c>
      <c r="M149" s="60">
        <f t="shared" si="6"/>
        <v>-5460153.999</v>
      </c>
    </row>
    <row r="150" ht="12.75" customHeight="1">
      <c r="A150" s="49">
        <f t="shared" si="5"/>
        <v>146</v>
      </c>
      <c r="B150" s="28">
        <f>DCA_Forecast_Model!G151</f>
        <v>4772.985766</v>
      </c>
      <c r="C150" s="28">
        <f>DCA_Forecast_Model!H151</f>
        <v>61.43629509</v>
      </c>
      <c r="D150" s="29">
        <f>B150*'Economic Inputs Parameters'!$B$2</f>
        <v>14318.9573</v>
      </c>
      <c r="E150" s="29">
        <f>C150*'Economic Inputs Parameters'!$B$3</f>
        <v>4300.540657</v>
      </c>
      <c r="F150" s="29">
        <f t="shared" si="1"/>
        <v>18619.49795</v>
      </c>
      <c r="G150" s="28">
        <f>'Economic Inputs Parameters'!$B$4</f>
        <v>3000</v>
      </c>
      <c r="H150" s="28">
        <f t="shared" si="2"/>
        <v>15619.49795</v>
      </c>
      <c r="I150" s="29">
        <v>0.0</v>
      </c>
      <c r="J150" s="28">
        <f t="shared" si="3"/>
        <v>15619.49795</v>
      </c>
      <c r="K150" s="28">
        <f>1/(1+'Economic Inputs Parameters'!$B$5)^(A150)</f>
        <v>0.2991534325</v>
      </c>
      <c r="L150" s="28">
        <f t="shared" si="4"/>
        <v>4672.626428</v>
      </c>
      <c r="M150" s="60">
        <f t="shared" si="6"/>
        <v>-5455481.373</v>
      </c>
    </row>
    <row r="151" ht="12.75" customHeight="1">
      <c r="A151" s="49">
        <f t="shared" si="5"/>
        <v>147</v>
      </c>
      <c r="B151" s="28">
        <f>DCA_Forecast_Model!G152</f>
        <v>4687.840627</v>
      </c>
      <c r="C151" s="28">
        <f>DCA_Forecast_Model!H152</f>
        <v>60.34033501</v>
      </c>
      <c r="D151" s="29">
        <f>B151*'Economic Inputs Parameters'!$B$2</f>
        <v>14063.52188</v>
      </c>
      <c r="E151" s="29">
        <f>C151*'Economic Inputs Parameters'!$B$3</f>
        <v>4223.823451</v>
      </c>
      <c r="F151" s="29">
        <f t="shared" si="1"/>
        <v>18287.34533</v>
      </c>
      <c r="G151" s="28">
        <f>'Economic Inputs Parameters'!$B$4</f>
        <v>3000</v>
      </c>
      <c r="H151" s="28">
        <f t="shared" si="2"/>
        <v>15287.34533</v>
      </c>
      <c r="I151" s="29">
        <v>0.0</v>
      </c>
      <c r="J151" s="28">
        <f t="shared" si="3"/>
        <v>15287.34533</v>
      </c>
      <c r="K151" s="28">
        <f>1/(1+'Economic Inputs Parameters'!$B$5)^(A151)</f>
        <v>0.2966908981</v>
      </c>
      <c r="L151" s="28">
        <f t="shared" si="4"/>
        <v>4535.616216</v>
      </c>
      <c r="M151" s="60">
        <f t="shared" si="6"/>
        <v>-5450945.756</v>
      </c>
    </row>
    <row r="152" ht="12.75" customHeight="1">
      <c r="A152" s="49">
        <f t="shared" si="5"/>
        <v>148</v>
      </c>
      <c r="B152" s="28">
        <f>DCA_Forecast_Model!G153</f>
        <v>4604.21439</v>
      </c>
      <c r="C152" s="28">
        <f>DCA_Forecast_Model!H153</f>
        <v>59.26392573</v>
      </c>
      <c r="D152" s="29">
        <f>B152*'Economic Inputs Parameters'!$B$2</f>
        <v>13812.64317</v>
      </c>
      <c r="E152" s="29">
        <f>C152*'Economic Inputs Parameters'!$B$3</f>
        <v>4148.474801</v>
      </c>
      <c r="F152" s="29">
        <f t="shared" si="1"/>
        <v>17961.11797</v>
      </c>
      <c r="G152" s="28">
        <f>'Economic Inputs Parameters'!$B$4</f>
        <v>3000</v>
      </c>
      <c r="H152" s="28">
        <f t="shared" si="2"/>
        <v>14961.11797</v>
      </c>
      <c r="I152" s="29">
        <v>0.0</v>
      </c>
      <c r="J152" s="28">
        <f t="shared" si="3"/>
        <v>14961.11797</v>
      </c>
      <c r="K152" s="28">
        <f>1/(1+'Economic Inputs Parameters'!$B$5)^(A152)</f>
        <v>0.2942486344</v>
      </c>
      <c r="L152" s="28">
        <f t="shared" si="4"/>
        <v>4402.288532</v>
      </c>
      <c r="M152" s="60">
        <f t="shared" si="6"/>
        <v>-5446543.468</v>
      </c>
    </row>
    <row r="153" ht="12.75" customHeight="1">
      <c r="A153" s="49">
        <f t="shared" si="5"/>
        <v>149</v>
      </c>
      <c r="B153" s="28">
        <f>DCA_Forecast_Model!G154</f>
        <v>4522.079958</v>
      </c>
      <c r="C153" s="28">
        <f>DCA_Forecast_Model!H154</f>
        <v>58.20671848</v>
      </c>
      <c r="D153" s="29">
        <f>B153*'Economic Inputs Parameters'!$B$2</f>
        <v>13566.23988</v>
      </c>
      <c r="E153" s="29">
        <f>C153*'Economic Inputs Parameters'!$B$3</f>
        <v>4074.470293</v>
      </c>
      <c r="F153" s="29">
        <f t="shared" si="1"/>
        <v>17640.71017</v>
      </c>
      <c r="G153" s="28">
        <f>'Economic Inputs Parameters'!$B$4</f>
        <v>3000</v>
      </c>
      <c r="H153" s="28">
        <f t="shared" si="2"/>
        <v>14640.71017</v>
      </c>
      <c r="I153" s="29">
        <v>0.0</v>
      </c>
      <c r="J153" s="28">
        <f t="shared" si="3"/>
        <v>14640.71017</v>
      </c>
      <c r="K153" s="28">
        <f>1/(1+'Economic Inputs Parameters'!$B$5)^(A153)</f>
        <v>0.2918264747</v>
      </c>
      <c r="L153" s="28">
        <f t="shared" si="4"/>
        <v>4272.546835</v>
      </c>
      <c r="M153" s="60">
        <f t="shared" si="6"/>
        <v>-5442270.921</v>
      </c>
    </row>
    <row r="154" ht="12.75" customHeight="1">
      <c r="A154" s="49">
        <f t="shared" si="5"/>
        <v>150</v>
      </c>
      <c r="B154" s="28">
        <f>DCA_Forecast_Model!G155</f>
        <v>4441.41072</v>
      </c>
      <c r="C154" s="28">
        <f>DCA_Forecast_Model!H155</f>
        <v>57.16837071</v>
      </c>
      <c r="D154" s="29">
        <f>B154*'Economic Inputs Parameters'!$B$2</f>
        <v>13324.23216</v>
      </c>
      <c r="E154" s="29">
        <f>C154*'Economic Inputs Parameters'!$B$3</f>
        <v>4001.78595</v>
      </c>
      <c r="F154" s="29">
        <f t="shared" si="1"/>
        <v>17326.01811</v>
      </c>
      <c r="G154" s="28">
        <f>'Economic Inputs Parameters'!$B$4</f>
        <v>3000</v>
      </c>
      <c r="H154" s="28">
        <f t="shared" si="2"/>
        <v>14326.01811</v>
      </c>
      <c r="I154" s="29">
        <v>0.0</v>
      </c>
      <c r="J154" s="28">
        <f t="shared" si="3"/>
        <v>14326.01811</v>
      </c>
      <c r="K154" s="28">
        <f>1/(1+'Economic Inputs Parameters'!$B$5)^(A154)</f>
        <v>0.2894242534</v>
      </c>
      <c r="L154" s="28">
        <f t="shared" si="4"/>
        <v>4146.297096</v>
      </c>
      <c r="M154" s="60">
        <f t="shared" si="6"/>
        <v>-5438124.624</v>
      </c>
    </row>
    <row r="155" ht="12.75" customHeight="1">
      <c r="A155" s="49">
        <f t="shared" si="5"/>
        <v>151</v>
      </c>
      <c r="B155" s="28">
        <f>DCA_Forecast_Model!G156</f>
        <v>4362.180538</v>
      </c>
      <c r="C155" s="28">
        <f>DCA_Forecast_Model!H156</f>
        <v>56.14854599</v>
      </c>
      <c r="D155" s="29">
        <f>B155*'Economic Inputs Parameters'!$B$2</f>
        <v>13086.54161</v>
      </c>
      <c r="E155" s="29">
        <f>C155*'Economic Inputs Parameters'!$B$3</f>
        <v>3930.39822</v>
      </c>
      <c r="F155" s="29">
        <f t="shared" si="1"/>
        <v>17016.93983</v>
      </c>
      <c r="G155" s="28">
        <f>'Economic Inputs Parameters'!$B$4</f>
        <v>3000</v>
      </c>
      <c r="H155" s="28">
        <f t="shared" si="2"/>
        <v>14016.93983</v>
      </c>
      <c r="I155" s="29">
        <v>0.0</v>
      </c>
      <c r="J155" s="28">
        <f t="shared" si="3"/>
        <v>14016.93983</v>
      </c>
      <c r="K155" s="28">
        <f>1/(1+'Economic Inputs Parameters'!$B$5)^(A155)</f>
        <v>0.2870418064</v>
      </c>
      <c r="L155" s="28">
        <f t="shared" si="4"/>
        <v>4023.44773</v>
      </c>
      <c r="M155" s="60">
        <f t="shared" si="6"/>
        <v>-5434101.176</v>
      </c>
    </row>
    <row r="156" ht="12.75" customHeight="1">
      <c r="A156" s="49">
        <f t="shared" si="5"/>
        <v>152</v>
      </c>
      <c r="B156" s="28">
        <f>DCA_Forecast_Model!G157</f>
        <v>4284.363741</v>
      </c>
      <c r="C156" s="28">
        <f>DCA_Forecast_Model!H157</f>
        <v>55.1469139</v>
      </c>
      <c r="D156" s="29">
        <f>B156*'Economic Inputs Parameters'!$B$2</f>
        <v>12853.09122</v>
      </c>
      <c r="E156" s="29">
        <f>C156*'Economic Inputs Parameters'!$B$3</f>
        <v>3860.283973</v>
      </c>
      <c r="F156" s="29">
        <f t="shared" si="1"/>
        <v>16713.3752</v>
      </c>
      <c r="G156" s="28">
        <f>'Economic Inputs Parameters'!$B$4</f>
        <v>3000</v>
      </c>
      <c r="H156" s="28">
        <f t="shared" si="2"/>
        <v>13713.3752</v>
      </c>
      <c r="I156" s="29">
        <v>0.0</v>
      </c>
      <c r="J156" s="28">
        <f t="shared" si="3"/>
        <v>13713.3752</v>
      </c>
      <c r="K156" s="28">
        <f>1/(1+'Economic Inputs Parameters'!$B$5)^(A156)</f>
        <v>0.2846789709</v>
      </c>
      <c r="L156" s="28">
        <f t="shared" si="4"/>
        <v>3903.909539</v>
      </c>
      <c r="M156" s="60">
        <f t="shared" si="6"/>
        <v>-5430197.267</v>
      </c>
    </row>
    <row r="157" ht="12.75" customHeight="1">
      <c r="A157" s="49">
        <f t="shared" si="5"/>
        <v>153</v>
      </c>
      <c r="B157" s="28">
        <f>DCA_Forecast_Model!G158</f>
        <v>4207.935115</v>
      </c>
      <c r="C157" s="28">
        <f>DCA_Forecast_Model!H158</f>
        <v>54.16314989</v>
      </c>
      <c r="D157" s="29">
        <f>B157*'Economic Inputs Parameters'!$B$2</f>
        <v>12623.80534</v>
      </c>
      <c r="E157" s="29">
        <f>C157*'Economic Inputs Parameters'!$B$3</f>
        <v>3791.420492</v>
      </c>
      <c r="F157" s="29">
        <f t="shared" si="1"/>
        <v>16415.22584</v>
      </c>
      <c r="G157" s="28">
        <f>'Economic Inputs Parameters'!$B$4</f>
        <v>3000</v>
      </c>
      <c r="H157" s="28">
        <f t="shared" si="2"/>
        <v>13415.22584</v>
      </c>
      <c r="I157" s="29">
        <v>0.0</v>
      </c>
      <c r="J157" s="28">
        <f t="shared" si="3"/>
        <v>13415.22584</v>
      </c>
      <c r="K157" s="28">
        <f>1/(1+'Economic Inputs Parameters'!$B$5)^(A157)</f>
        <v>0.2823355856</v>
      </c>
      <c r="L157" s="28">
        <f t="shared" si="4"/>
        <v>3787.595642</v>
      </c>
      <c r="M157" s="60">
        <f t="shared" si="6"/>
        <v>-5426409.671</v>
      </c>
    </row>
    <row r="158" ht="12.75" customHeight="1">
      <c r="A158" s="49">
        <f t="shared" si="5"/>
        <v>154</v>
      </c>
      <c r="B158" s="28">
        <f>DCA_Forecast_Model!G159</f>
        <v>4132.869896</v>
      </c>
      <c r="C158" s="28">
        <f>DCA_Forecast_Model!H159</f>
        <v>53.19693521</v>
      </c>
      <c r="D158" s="29">
        <f>B158*'Economic Inputs Parameters'!$B$2</f>
        <v>12398.60969</v>
      </c>
      <c r="E158" s="29">
        <f>C158*'Economic Inputs Parameters'!$B$3</f>
        <v>3723.785465</v>
      </c>
      <c r="F158" s="29">
        <f t="shared" si="1"/>
        <v>16122.39515</v>
      </c>
      <c r="G158" s="28">
        <f>'Economic Inputs Parameters'!$B$4</f>
        <v>3000</v>
      </c>
      <c r="H158" s="28">
        <f t="shared" si="2"/>
        <v>13122.39515</v>
      </c>
      <c r="I158" s="29">
        <v>0.0</v>
      </c>
      <c r="J158" s="28">
        <f t="shared" si="3"/>
        <v>13122.39515</v>
      </c>
      <c r="K158" s="28">
        <f>1/(1+'Economic Inputs Parameters'!$B$5)^(A158)</f>
        <v>0.2800114902</v>
      </c>
      <c r="L158" s="28">
        <f t="shared" si="4"/>
        <v>3674.421422</v>
      </c>
      <c r="M158" s="60">
        <f t="shared" si="6"/>
        <v>-5422735.25</v>
      </c>
    </row>
    <row r="159" ht="12.75" customHeight="1">
      <c r="A159" s="49">
        <f t="shared" si="5"/>
        <v>155</v>
      </c>
      <c r="B159" s="28">
        <f>DCA_Forecast_Model!G160</f>
        <v>4059.143764</v>
      </c>
      <c r="C159" s="28">
        <f>DCA_Forecast_Model!H160</f>
        <v>52.2479568</v>
      </c>
      <c r="D159" s="29">
        <f>B159*'Economic Inputs Parameters'!$B$2</f>
        <v>12177.43129</v>
      </c>
      <c r="E159" s="29">
        <f>C159*'Economic Inputs Parameters'!$B$3</f>
        <v>3657.356976</v>
      </c>
      <c r="F159" s="29">
        <f t="shared" si="1"/>
        <v>15834.78827</v>
      </c>
      <c r="G159" s="28">
        <f>'Economic Inputs Parameters'!$B$4</f>
        <v>3000</v>
      </c>
      <c r="H159" s="28">
        <f t="shared" si="2"/>
        <v>12834.78827</v>
      </c>
      <c r="I159" s="29">
        <v>0.0</v>
      </c>
      <c r="J159" s="28">
        <f t="shared" si="3"/>
        <v>12834.78827</v>
      </c>
      <c r="K159" s="28">
        <f>1/(1+'Economic Inputs Parameters'!$B$5)^(A159)</f>
        <v>0.277706526</v>
      </c>
      <c r="L159" s="28">
        <f t="shared" si="4"/>
        <v>3564.304462</v>
      </c>
      <c r="M159" s="60">
        <f t="shared" si="6"/>
        <v>-5419170.945</v>
      </c>
    </row>
    <row r="160" ht="12.75" customHeight="1">
      <c r="A160" s="49">
        <f t="shared" si="5"/>
        <v>156</v>
      </c>
      <c r="B160" s="28">
        <f>DCA_Forecast_Model!G161</f>
        <v>3986.73283</v>
      </c>
      <c r="C160" s="28">
        <f>DCA_Forecast_Model!H161</f>
        <v>51.31590719</v>
      </c>
      <c r="D160" s="29">
        <f>B160*'Economic Inputs Parameters'!$B$2</f>
        <v>11960.19849</v>
      </c>
      <c r="E160" s="29">
        <f>C160*'Economic Inputs Parameters'!$B$3</f>
        <v>3592.113503</v>
      </c>
      <c r="F160" s="29">
        <f t="shared" si="1"/>
        <v>15552.31199</v>
      </c>
      <c r="G160" s="28">
        <f>'Economic Inputs Parameters'!$B$4</f>
        <v>3000</v>
      </c>
      <c r="H160" s="28">
        <f t="shared" si="2"/>
        <v>12552.31199</v>
      </c>
      <c r="I160" s="29">
        <v>0.0</v>
      </c>
      <c r="J160" s="28">
        <f t="shared" si="3"/>
        <v>12552.31199</v>
      </c>
      <c r="K160" s="28">
        <f>1/(1+'Economic Inputs Parameters'!$B$5)^(A160)</f>
        <v>0.2754205356</v>
      </c>
      <c r="L160" s="28">
        <f t="shared" si="4"/>
        <v>3457.164492</v>
      </c>
      <c r="M160" s="60">
        <f t="shared" si="6"/>
        <v>-5415713.781</v>
      </c>
    </row>
    <row r="161" ht="12.75" customHeight="1">
      <c r="A161" s="49">
        <f t="shared" si="5"/>
        <v>157</v>
      </c>
      <c r="B161" s="28">
        <f>DCA_Forecast_Model!G162</f>
        <v>3915.613632</v>
      </c>
      <c r="C161" s="28">
        <f>DCA_Forecast_Model!H162</f>
        <v>50.40048438</v>
      </c>
      <c r="D161" s="29">
        <f>B161*'Economic Inputs Parameters'!$B$2</f>
        <v>11746.8409</v>
      </c>
      <c r="E161" s="29">
        <f>C161*'Economic Inputs Parameters'!$B$3</f>
        <v>3528.033907</v>
      </c>
      <c r="F161" s="29">
        <f t="shared" si="1"/>
        <v>15274.8748</v>
      </c>
      <c r="G161" s="28">
        <f>'Economic Inputs Parameters'!$B$4</f>
        <v>3000</v>
      </c>
      <c r="H161" s="28">
        <f t="shared" si="2"/>
        <v>12274.8748</v>
      </c>
      <c r="I161" s="29">
        <v>0.0</v>
      </c>
      <c r="J161" s="28">
        <f t="shared" si="3"/>
        <v>12274.8748</v>
      </c>
      <c r="K161" s="28">
        <f>1/(1+'Economic Inputs Parameters'!$B$5)^(A161)</f>
        <v>0.2731533627</v>
      </c>
      <c r="L161" s="28">
        <f t="shared" si="4"/>
        <v>3352.923329</v>
      </c>
      <c r="M161" s="60">
        <f t="shared" si="6"/>
        <v>-5412360.857</v>
      </c>
    </row>
    <row r="162" ht="12.75" customHeight="1">
      <c r="A162" s="49">
        <f t="shared" si="5"/>
        <v>158</v>
      </c>
      <c r="B162" s="28">
        <f>DCA_Forecast_Model!G163</f>
        <v>3845.763127</v>
      </c>
      <c r="C162" s="28">
        <f>DCA_Forecast_Model!H163</f>
        <v>49.50139177</v>
      </c>
      <c r="D162" s="29">
        <f>B162*'Economic Inputs Parameters'!$B$2</f>
        <v>11537.28938</v>
      </c>
      <c r="E162" s="29">
        <f>C162*'Economic Inputs Parameters'!$B$3</f>
        <v>3465.097424</v>
      </c>
      <c r="F162" s="29">
        <f t="shared" si="1"/>
        <v>15002.3868</v>
      </c>
      <c r="G162" s="28">
        <f>'Economic Inputs Parameters'!$B$4</f>
        <v>3000</v>
      </c>
      <c r="H162" s="28">
        <f t="shared" si="2"/>
        <v>12002.3868</v>
      </c>
      <c r="I162" s="29">
        <v>0.0</v>
      </c>
      <c r="J162" s="28">
        <f t="shared" si="3"/>
        <v>12002.3868</v>
      </c>
      <c r="K162" s="28">
        <f>1/(1+'Economic Inputs Parameters'!$B$5)^(A162)</f>
        <v>0.2709048524</v>
      </c>
      <c r="L162" s="28">
        <f t="shared" si="4"/>
        <v>3251.504826</v>
      </c>
      <c r="M162" s="60">
        <f t="shared" si="6"/>
        <v>-5409109.353</v>
      </c>
    </row>
    <row r="163" ht="12.75" customHeight="1">
      <c r="A163" s="49">
        <f t="shared" si="5"/>
        <v>159</v>
      </c>
      <c r="B163" s="28">
        <f>DCA_Forecast_Model!G164</f>
        <v>3777.158683</v>
      </c>
      <c r="C163" s="28">
        <f>DCA_Forecast_Model!H164</f>
        <v>48.61833805</v>
      </c>
      <c r="D163" s="29">
        <f>B163*'Economic Inputs Parameters'!$B$2</f>
        <v>11331.47605</v>
      </c>
      <c r="E163" s="29">
        <f>C163*'Economic Inputs Parameters'!$B$3</f>
        <v>3403.283663</v>
      </c>
      <c r="F163" s="29">
        <f t="shared" si="1"/>
        <v>14734.75971</v>
      </c>
      <c r="G163" s="28">
        <f>'Economic Inputs Parameters'!$B$4</f>
        <v>3000</v>
      </c>
      <c r="H163" s="28">
        <f t="shared" si="2"/>
        <v>11734.75971</v>
      </c>
      <c r="I163" s="29">
        <v>0.0</v>
      </c>
      <c r="J163" s="28">
        <f t="shared" si="3"/>
        <v>11734.75971</v>
      </c>
      <c r="K163" s="28">
        <f>1/(1+'Economic Inputs Parameters'!$B$5)^(A163)</f>
        <v>0.2686748511</v>
      </c>
      <c r="L163" s="28">
        <f t="shared" si="4"/>
        <v>3152.834819</v>
      </c>
      <c r="M163" s="60">
        <f t="shared" si="6"/>
        <v>-5405956.518</v>
      </c>
    </row>
    <row r="164" ht="12.75" customHeight="1">
      <c r="A164" s="49">
        <f t="shared" si="5"/>
        <v>160</v>
      </c>
      <c r="B164" s="28">
        <f>DCA_Forecast_Model!G165</f>
        <v>3709.778071</v>
      </c>
      <c r="C164" s="28">
        <f>DCA_Forecast_Model!H165</f>
        <v>47.75103709</v>
      </c>
      <c r="D164" s="29">
        <f>B164*'Economic Inputs Parameters'!$B$2</f>
        <v>11129.33421</v>
      </c>
      <c r="E164" s="29">
        <f>C164*'Economic Inputs Parameters'!$B$3</f>
        <v>3342.572596</v>
      </c>
      <c r="F164" s="29">
        <f t="shared" si="1"/>
        <v>14471.90681</v>
      </c>
      <c r="G164" s="28">
        <f>'Economic Inputs Parameters'!$B$4</f>
        <v>3000</v>
      </c>
      <c r="H164" s="28">
        <f t="shared" si="2"/>
        <v>11471.90681</v>
      </c>
      <c r="I164" s="29">
        <v>0.0</v>
      </c>
      <c r="J164" s="28">
        <f t="shared" si="3"/>
        <v>11471.90681</v>
      </c>
      <c r="K164" s="28">
        <f>1/(1+'Economic Inputs Parameters'!$B$5)^(A164)</f>
        <v>0.2664632065</v>
      </c>
      <c r="L164" s="28">
        <f t="shared" si="4"/>
        <v>3056.841074</v>
      </c>
      <c r="M164" s="60">
        <f t="shared" si="6"/>
        <v>-5402899.677</v>
      </c>
    </row>
    <row r="165" ht="12.75" customHeight="1">
      <c r="A165" s="49">
        <f t="shared" si="5"/>
        <v>161</v>
      </c>
      <c r="B165" s="28">
        <f>DCA_Forecast_Model!G166</f>
        <v>3643.59946</v>
      </c>
      <c r="C165" s="28">
        <f>DCA_Forecast_Model!H166</f>
        <v>46.89920788</v>
      </c>
      <c r="D165" s="29">
        <f>B165*'Economic Inputs Parameters'!$B$2</f>
        <v>10930.79838</v>
      </c>
      <c r="E165" s="29">
        <f>C165*'Economic Inputs Parameters'!$B$3</f>
        <v>3282.944552</v>
      </c>
      <c r="F165" s="29">
        <f t="shared" si="1"/>
        <v>14213.74293</v>
      </c>
      <c r="G165" s="28">
        <f>'Economic Inputs Parameters'!$B$4</f>
        <v>3000</v>
      </c>
      <c r="H165" s="28">
        <f t="shared" si="2"/>
        <v>11213.74293</v>
      </c>
      <c r="I165" s="29">
        <v>0.0</v>
      </c>
      <c r="J165" s="28">
        <f t="shared" si="3"/>
        <v>11213.74293</v>
      </c>
      <c r="K165" s="28">
        <f>1/(1+'Economic Inputs Parameters'!$B$5)^(A165)</f>
        <v>0.2642697675</v>
      </c>
      <c r="L165" s="28">
        <f t="shared" si="4"/>
        <v>2963.453237</v>
      </c>
      <c r="M165" s="60">
        <f t="shared" si="6"/>
        <v>-5399936.223</v>
      </c>
    </row>
    <row r="166" ht="12.75" customHeight="1">
      <c r="A166" s="49">
        <f t="shared" si="5"/>
        <v>162</v>
      </c>
      <c r="B166" s="28">
        <f>DCA_Forecast_Model!G167</f>
        <v>3578.601408</v>
      </c>
      <c r="C166" s="28">
        <f>DCA_Forecast_Model!H167</f>
        <v>46.06257443</v>
      </c>
      <c r="D166" s="29">
        <f>B166*'Economic Inputs Parameters'!$B$2</f>
        <v>10735.80422</v>
      </c>
      <c r="E166" s="29">
        <f>C166*'Economic Inputs Parameters'!$B$3</f>
        <v>3224.38021</v>
      </c>
      <c r="F166" s="29">
        <f t="shared" si="1"/>
        <v>13960.18443</v>
      </c>
      <c r="G166" s="28">
        <f>'Economic Inputs Parameters'!$B$4</f>
        <v>3000</v>
      </c>
      <c r="H166" s="28">
        <f t="shared" si="2"/>
        <v>10960.18443</v>
      </c>
      <c r="I166" s="29">
        <v>0.0</v>
      </c>
      <c r="J166" s="28">
        <f t="shared" si="3"/>
        <v>10960.18443</v>
      </c>
      <c r="K166" s="28">
        <f>1/(1+'Economic Inputs Parameters'!$B$5)^(A166)</f>
        <v>0.2620943841</v>
      </c>
      <c r="L166" s="28">
        <f t="shared" si="4"/>
        <v>2872.602788</v>
      </c>
      <c r="M166" s="60">
        <f t="shared" si="6"/>
        <v>-5397063.621</v>
      </c>
    </row>
    <row r="167" ht="12.75" customHeight="1">
      <c r="A167" s="49">
        <f t="shared" si="5"/>
        <v>163</v>
      </c>
      <c r="B167" s="28">
        <f>DCA_Forecast_Model!G168</f>
        <v>3514.762853</v>
      </c>
      <c r="C167" s="28">
        <f>DCA_Forecast_Model!H168</f>
        <v>45.24086566</v>
      </c>
      <c r="D167" s="29">
        <f>B167*'Economic Inputs Parameters'!$B$2</f>
        <v>10544.28856</v>
      </c>
      <c r="E167" s="29">
        <f>C167*'Economic Inputs Parameters'!$B$3</f>
        <v>3166.860596</v>
      </c>
      <c r="F167" s="29">
        <f t="shared" si="1"/>
        <v>13711.14915</v>
      </c>
      <c r="G167" s="28">
        <f>'Economic Inputs Parameters'!$B$4</f>
        <v>3000</v>
      </c>
      <c r="H167" s="28">
        <f t="shared" si="2"/>
        <v>10711.14915</v>
      </c>
      <c r="I167" s="29">
        <v>0.0</v>
      </c>
      <c r="J167" s="28">
        <f t="shared" si="3"/>
        <v>10711.14915</v>
      </c>
      <c r="K167" s="28">
        <f>1/(1+'Economic Inputs Parameters'!$B$5)^(A167)</f>
        <v>0.2599369077</v>
      </c>
      <c r="L167" s="28">
        <f t="shared" si="4"/>
        <v>2784.22299</v>
      </c>
      <c r="M167" s="60">
        <f t="shared" si="6"/>
        <v>-5394279.398</v>
      </c>
    </row>
    <row r="168" ht="12.75" customHeight="1">
      <c r="A168" s="49">
        <f t="shared" si="5"/>
        <v>164</v>
      </c>
      <c r="B168" s="28">
        <f>DCA_Forecast_Model!G169</f>
        <v>3452.063112</v>
      </c>
      <c r="C168" s="28">
        <f>DCA_Forecast_Model!H169</f>
        <v>44.43381532</v>
      </c>
      <c r="D168" s="29">
        <f>B168*'Economic Inputs Parameters'!$B$2</f>
        <v>10356.18934</v>
      </c>
      <c r="E168" s="29">
        <f>C168*'Economic Inputs Parameters'!$B$3</f>
        <v>3110.367072</v>
      </c>
      <c r="F168" s="29">
        <f t="shared" si="1"/>
        <v>13466.55641</v>
      </c>
      <c r="G168" s="28">
        <f>'Economic Inputs Parameters'!$B$4</f>
        <v>3000</v>
      </c>
      <c r="H168" s="28">
        <f t="shared" si="2"/>
        <v>10466.55641</v>
      </c>
      <c r="I168" s="29">
        <v>0.0</v>
      </c>
      <c r="J168" s="28">
        <f t="shared" si="3"/>
        <v>10466.55641</v>
      </c>
      <c r="K168" s="28">
        <f>1/(1+'Economic Inputs Parameters'!$B$5)^(A168)</f>
        <v>0.257797191</v>
      </c>
      <c r="L168" s="28">
        <f t="shared" si="4"/>
        <v>2698.248842</v>
      </c>
      <c r="M168" s="60">
        <f t="shared" si="6"/>
        <v>-5391581.149</v>
      </c>
    </row>
    <row r="169" ht="12.75" customHeight="1">
      <c r="A169" s="49">
        <f t="shared" si="5"/>
        <v>165</v>
      </c>
      <c r="B169" s="28">
        <f>DCA_Forecast_Model!G170</f>
        <v>3390.48187</v>
      </c>
      <c r="C169" s="28">
        <f>DCA_Forecast_Model!H170</f>
        <v>43.64116192</v>
      </c>
      <c r="D169" s="29">
        <f>B169*'Economic Inputs Parameters'!$B$2</f>
        <v>10171.44561</v>
      </c>
      <c r="E169" s="29">
        <f>C169*'Economic Inputs Parameters'!$B$3</f>
        <v>3054.881335</v>
      </c>
      <c r="F169" s="29">
        <f t="shared" si="1"/>
        <v>13226.32694</v>
      </c>
      <c r="G169" s="28">
        <f>'Economic Inputs Parameters'!$B$4</f>
        <v>3000</v>
      </c>
      <c r="H169" s="28">
        <f t="shared" si="2"/>
        <v>10226.32694</v>
      </c>
      <c r="I169" s="29">
        <v>0.0</v>
      </c>
      <c r="J169" s="28">
        <f t="shared" si="3"/>
        <v>10226.32694</v>
      </c>
      <c r="K169" s="28">
        <f>1/(1+'Economic Inputs Parameters'!$B$5)^(A169)</f>
        <v>0.2556750878</v>
      </c>
      <c r="L169" s="28">
        <f t="shared" si="4"/>
        <v>2614.61704</v>
      </c>
      <c r="M169" s="60">
        <f t="shared" si="6"/>
        <v>-5388966.532</v>
      </c>
    </row>
    <row r="170" ht="12.75" customHeight="1">
      <c r="A170" s="49">
        <f t="shared" si="5"/>
        <v>166</v>
      </c>
      <c r="B170" s="28">
        <f>DCA_Forecast_Model!G171</f>
        <v>3329.999174</v>
      </c>
      <c r="C170" s="28">
        <f>DCA_Forecast_Model!H171</f>
        <v>42.86264865</v>
      </c>
      <c r="D170" s="29">
        <f>B170*'Economic Inputs Parameters'!$B$2</f>
        <v>9989.997521</v>
      </c>
      <c r="E170" s="29">
        <f>C170*'Economic Inputs Parameters'!$B$3</f>
        <v>3000.385405</v>
      </c>
      <c r="F170" s="29">
        <f t="shared" si="1"/>
        <v>12990.38293</v>
      </c>
      <c r="G170" s="28">
        <f>'Economic Inputs Parameters'!$B$4</f>
        <v>3000</v>
      </c>
      <c r="H170" s="28">
        <f t="shared" si="2"/>
        <v>9990.382926</v>
      </c>
      <c r="I170" s="29">
        <v>0.0</v>
      </c>
      <c r="J170" s="28">
        <f t="shared" si="3"/>
        <v>9990.382926</v>
      </c>
      <c r="K170" s="28">
        <f>1/(1+'Economic Inputs Parameters'!$B$5)^(A170)</f>
        <v>0.2535704531</v>
      </c>
      <c r="L170" s="28">
        <f t="shared" si="4"/>
        <v>2533.265925</v>
      </c>
      <c r="M170" s="60">
        <f t="shared" si="6"/>
        <v>-5386433.266</v>
      </c>
    </row>
    <row r="171" ht="12.75" customHeight="1">
      <c r="A171" s="49">
        <f t="shared" si="5"/>
        <v>167</v>
      </c>
      <c r="B171" s="28">
        <f>DCA_Forecast_Model!G172</f>
        <v>3270.595426</v>
      </c>
      <c r="C171" s="28">
        <f>DCA_Forecast_Model!H172</f>
        <v>42.09802325</v>
      </c>
      <c r="D171" s="29">
        <f>B171*'Economic Inputs Parameters'!$B$2</f>
        <v>9811.786278</v>
      </c>
      <c r="E171" s="29">
        <f>C171*'Economic Inputs Parameters'!$B$3</f>
        <v>2946.861627</v>
      </c>
      <c r="F171" s="29">
        <f t="shared" si="1"/>
        <v>12758.64791</v>
      </c>
      <c r="G171" s="28">
        <f>'Economic Inputs Parameters'!$B$4</f>
        <v>3000</v>
      </c>
      <c r="H171" s="28">
        <f t="shared" si="2"/>
        <v>9758.647905</v>
      </c>
      <c r="I171" s="29">
        <v>0.0</v>
      </c>
      <c r="J171" s="28">
        <f t="shared" si="3"/>
        <v>9758.647905</v>
      </c>
      <c r="K171" s="28">
        <f>1/(1+'Economic Inputs Parameters'!$B$5)^(A171)</f>
        <v>0.251483143</v>
      </c>
      <c r="L171" s="28">
        <f t="shared" si="4"/>
        <v>2454.135446</v>
      </c>
      <c r="M171" s="60">
        <f t="shared" si="6"/>
        <v>-5383979.13</v>
      </c>
    </row>
    <row r="172" ht="12.75" customHeight="1">
      <c r="A172" s="49">
        <f t="shared" si="5"/>
        <v>168</v>
      </c>
      <c r="B172" s="28">
        <f>DCA_Forecast_Model!G173</f>
        <v>3212.25138</v>
      </c>
      <c r="C172" s="28">
        <f>DCA_Forecast_Model!H173</f>
        <v>41.34703797</v>
      </c>
      <c r="D172" s="29">
        <f>B172*'Economic Inputs Parameters'!$B$2</f>
        <v>9636.75414</v>
      </c>
      <c r="E172" s="29">
        <f>C172*'Economic Inputs Parameters'!$B$3</f>
        <v>2894.292658</v>
      </c>
      <c r="F172" s="29">
        <f t="shared" si="1"/>
        <v>12531.0468</v>
      </c>
      <c r="G172" s="28">
        <f>'Economic Inputs Parameters'!$B$4</f>
        <v>3000</v>
      </c>
      <c r="H172" s="28">
        <f t="shared" si="2"/>
        <v>9531.046798</v>
      </c>
      <c r="I172" s="29">
        <v>0.0</v>
      </c>
      <c r="J172" s="28">
        <f t="shared" si="3"/>
        <v>9531.046798</v>
      </c>
      <c r="K172" s="28">
        <f>1/(1+'Economic Inputs Parameters'!$B$5)^(A172)</f>
        <v>0.2494130149</v>
      </c>
      <c r="L172" s="28">
        <f t="shared" si="4"/>
        <v>2377.167118</v>
      </c>
      <c r="M172" s="60">
        <f t="shared" si="6"/>
        <v>-5381601.963</v>
      </c>
    </row>
    <row r="173" ht="12.75" customHeight="1">
      <c r="A173" s="49">
        <f t="shared" si="5"/>
        <v>169</v>
      </c>
      <c r="B173" s="28">
        <f>DCA_Forecast_Model!G174</f>
        <v>3154.948132</v>
      </c>
      <c r="C173" s="28">
        <f>DCA_Forecast_Model!H174</f>
        <v>40.6094495</v>
      </c>
      <c r="D173" s="29">
        <f>B173*'Economic Inputs Parameters'!$B$2</f>
        <v>9464.844395</v>
      </c>
      <c r="E173" s="29">
        <f>C173*'Economic Inputs Parameters'!$B$3</f>
        <v>2842.661465</v>
      </c>
      <c r="F173" s="29">
        <f t="shared" si="1"/>
        <v>12307.50586</v>
      </c>
      <c r="G173" s="28">
        <f>'Economic Inputs Parameters'!$B$4</f>
        <v>3000</v>
      </c>
      <c r="H173" s="28">
        <f t="shared" si="2"/>
        <v>9307.50586</v>
      </c>
      <c r="I173" s="29">
        <v>0.0</v>
      </c>
      <c r="J173" s="28">
        <f t="shared" si="3"/>
        <v>9307.50586</v>
      </c>
      <c r="K173" s="28">
        <f>1/(1+'Economic Inputs Parameters'!$B$5)^(A173)</f>
        <v>0.2473599275</v>
      </c>
      <c r="L173" s="28">
        <f t="shared" si="4"/>
        <v>2302.303975</v>
      </c>
      <c r="M173" s="60">
        <f t="shared" si="6"/>
        <v>-5379299.659</v>
      </c>
    </row>
    <row r="174" ht="12.75" customHeight="1">
      <c r="A174" s="49">
        <f t="shared" si="5"/>
        <v>170</v>
      </c>
      <c r="B174" s="28">
        <f>DCA_Forecast_Model!G175</f>
        <v>3098.667114</v>
      </c>
      <c r="C174" s="28">
        <f>DCA_Forecast_Model!H175</f>
        <v>39.88501884</v>
      </c>
      <c r="D174" s="29">
        <f>B174*'Economic Inputs Parameters'!$B$2</f>
        <v>9296.001342</v>
      </c>
      <c r="E174" s="29">
        <f>C174*'Economic Inputs Parameters'!$B$3</f>
        <v>2791.951319</v>
      </c>
      <c r="F174" s="29">
        <f t="shared" si="1"/>
        <v>12087.95266</v>
      </c>
      <c r="G174" s="28">
        <f>'Economic Inputs Parameters'!$B$4</f>
        <v>3000</v>
      </c>
      <c r="H174" s="28">
        <f t="shared" si="2"/>
        <v>9087.952661</v>
      </c>
      <c r="I174" s="29">
        <v>0.0</v>
      </c>
      <c r="J174" s="28">
        <f t="shared" si="3"/>
        <v>9087.952661</v>
      </c>
      <c r="K174" s="28">
        <f>1/(1+'Economic Inputs Parameters'!$B$5)^(A174)</f>
        <v>0.2453237405</v>
      </c>
      <c r="L174" s="28">
        <f t="shared" si="4"/>
        <v>2229.49054</v>
      </c>
      <c r="M174" s="60">
        <f t="shared" si="6"/>
        <v>-5377070.169</v>
      </c>
    </row>
    <row r="175" ht="12.75" customHeight="1">
      <c r="A175" s="49">
        <f t="shared" si="5"/>
        <v>171</v>
      </c>
      <c r="B175" s="28">
        <f>DCA_Forecast_Model!G176</f>
        <v>3043.390092</v>
      </c>
      <c r="C175" s="28">
        <f>DCA_Forecast_Model!H176</f>
        <v>39.17351128</v>
      </c>
      <c r="D175" s="29">
        <f>B175*'Economic Inputs Parameters'!$B$2</f>
        <v>9130.170275</v>
      </c>
      <c r="E175" s="29">
        <f>C175*'Economic Inputs Parameters'!$B$3</f>
        <v>2742.14579</v>
      </c>
      <c r="F175" s="29">
        <f t="shared" si="1"/>
        <v>11872.31606</v>
      </c>
      <c r="G175" s="28">
        <f>'Economic Inputs Parameters'!$B$4</f>
        <v>3000</v>
      </c>
      <c r="H175" s="28">
        <f t="shared" si="2"/>
        <v>8872.316065</v>
      </c>
      <c r="I175" s="29">
        <v>0.0</v>
      </c>
      <c r="J175" s="28">
        <f t="shared" si="3"/>
        <v>8872.316065</v>
      </c>
      <c r="K175" s="28">
        <f>1/(1+'Economic Inputs Parameters'!$B$5)^(A175)</f>
        <v>0.2433043147</v>
      </c>
      <c r="L175" s="28">
        <f t="shared" si="4"/>
        <v>2158.67278</v>
      </c>
      <c r="M175" s="60">
        <f t="shared" si="6"/>
        <v>-5374911.496</v>
      </c>
    </row>
    <row r="176" ht="12.75" customHeight="1">
      <c r="A176" s="49">
        <f t="shared" si="5"/>
        <v>172</v>
      </c>
      <c r="B176" s="28">
        <f>DCA_Forecast_Model!G177</f>
        <v>2989.099154</v>
      </c>
      <c r="C176" s="28">
        <f>DCA_Forecast_Model!H177</f>
        <v>38.47469628</v>
      </c>
      <c r="D176" s="29">
        <f>B176*'Economic Inputs Parameters'!$B$2</f>
        <v>8967.297463</v>
      </c>
      <c r="E176" s="29">
        <f>C176*'Economic Inputs Parameters'!$B$3</f>
        <v>2693.22874</v>
      </c>
      <c r="F176" s="29">
        <f t="shared" si="1"/>
        <v>11660.5262</v>
      </c>
      <c r="G176" s="28">
        <f>'Economic Inputs Parameters'!$B$4</f>
        <v>3000</v>
      </c>
      <c r="H176" s="28">
        <f t="shared" si="2"/>
        <v>8660.526203</v>
      </c>
      <c r="I176" s="29">
        <v>0.0</v>
      </c>
      <c r="J176" s="28">
        <f t="shared" si="3"/>
        <v>8660.526203</v>
      </c>
      <c r="K176" s="28">
        <f>1/(1+'Economic Inputs Parameters'!$B$5)^(A176)</f>
        <v>0.2413015121</v>
      </c>
      <c r="L176" s="28">
        <f t="shared" si="4"/>
        <v>2089.798069</v>
      </c>
      <c r="M176" s="60">
        <f t="shared" si="6"/>
        <v>-5372821.698</v>
      </c>
    </row>
    <row r="177" ht="12.75" customHeight="1">
      <c r="A177" s="49">
        <f t="shared" si="5"/>
        <v>173</v>
      </c>
      <c r="B177" s="28">
        <f>DCA_Forecast_Model!G178</f>
        <v>2935.776711</v>
      </c>
      <c r="C177" s="28">
        <f>DCA_Forecast_Model!H178</f>
        <v>37.78834742</v>
      </c>
      <c r="D177" s="29">
        <f>B177*'Economic Inputs Parameters'!$B$2</f>
        <v>8807.330134</v>
      </c>
      <c r="E177" s="29">
        <f>C177*'Economic Inputs Parameters'!$B$3</f>
        <v>2645.184319</v>
      </c>
      <c r="F177" s="29">
        <f t="shared" si="1"/>
        <v>11452.51445</v>
      </c>
      <c r="G177" s="28">
        <f>'Economic Inputs Parameters'!$B$4</f>
        <v>3000</v>
      </c>
      <c r="H177" s="28">
        <f t="shared" si="2"/>
        <v>8452.514453</v>
      </c>
      <c r="I177" s="29">
        <v>0.0</v>
      </c>
      <c r="J177" s="28">
        <f t="shared" si="3"/>
        <v>8452.514453</v>
      </c>
      <c r="K177" s="28">
        <f>1/(1+'Economic Inputs Parameters'!$B$5)^(A177)</f>
        <v>0.239315196</v>
      </c>
      <c r="L177" s="28">
        <f t="shared" si="4"/>
        <v>2022.815153</v>
      </c>
      <c r="M177" s="60">
        <f t="shared" si="6"/>
        <v>-5370798.883</v>
      </c>
    </row>
    <row r="178" ht="12.75" customHeight="1">
      <c r="A178" s="49">
        <f t="shared" si="5"/>
        <v>174</v>
      </c>
      <c r="B178" s="28">
        <f>DCA_Forecast_Model!G179</f>
        <v>2883.405485</v>
      </c>
      <c r="C178" s="28">
        <f>DCA_Forecast_Model!H179</f>
        <v>37.11424231</v>
      </c>
      <c r="D178" s="29">
        <f>B178*'Economic Inputs Parameters'!$B$2</f>
        <v>8650.216456</v>
      </c>
      <c r="E178" s="29">
        <f>C178*'Economic Inputs Parameters'!$B$3</f>
        <v>2597.996962</v>
      </c>
      <c r="F178" s="29">
        <f t="shared" si="1"/>
        <v>11248.21342</v>
      </c>
      <c r="G178" s="28">
        <f>'Economic Inputs Parameters'!$B$4</f>
        <v>3000</v>
      </c>
      <c r="H178" s="28">
        <f t="shared" si="2"/>
        <v>8248.213418</v>
      </c>
      <c r="I178" s="29">
        <v>0.0</v>
      </c>
      <c r="J178" s="28">
        <f t="shared" si="3"/>
        <v>8248.213418</v>
      </c>
      <c r="K178" s="28">
        <f>1/(1+'Economic Inputs Parameters'!$B$5)^(A178)</f>
        <v>0.2373452306</v>
      </c>
      <c r="L178" s="28">
        <f t="shared" si="4"/>
        <v>1957.674116</v>
      </c>
      <c r="M178" s="60">
        <f t="shared" si="6"/>
        <v>-5368841.209</v>
      </c>
    </row>
    <row r="179" ht="12.75" customHeight="1">
      <c r="A179" s="49">
        <f t="shared" si="5"/>
        <v>175</v>
      </c>
      <c r="B179" s="28">
        <f>DCA_Forecast_Model!G180</f>
        <v>2831.968508</v>
      </c>
      <c r="C179" s="28">
        <f>DCA_Forecast_Model!H180</f>
        <v>36.45216255</v>
      </c>
      <c r="D179" s="29">
        <f>B179*'Economic Inputs Parameters'!$B$2</f>
        <v>8495.905525</v>
      </c>
      <c r="E179" s="29">
        <f>C179*'Economic Inputs Parameters'!$B$3</f>
        <v>2551.651378</v>
      </c>
      <c r="F179" s="29">
        <f t="shared" si="1"/>
        <v>11047.5569</v>
      </c>
      <c r="G179" s="28">
        <f>'Economic Inputs Parameters'!$B$4</f>
        <v>3000</v>
      </c>
      <c r="H179" s="28">
        <f t="shared" si="2"/>
        <v>8047.556903</v>
      </c>
      <c r="I179" s="29">
        <v>0.0</v>
      </c>
      <c r="J179" s="28">
        <f t="shared" si="3"/>
        <v>8047.556903</v>
      </c>
      <c r="K179" s="28">
        <f>1/(1+'Economic Inputs Parameters'!$B$5)^(A179)</f>
        <v>0.2353914813</v>
      </c>
      <c r="L179" s="28">
        <f t="shared" si="4"/>
        <v>1894.32634</v>
      </c>
      <c r="M179" s="60">
        <f t="shared" si="6"/>
        <v>-5366946.882</v>
      </c>
    </row>
    <row r="180" ht="12.75" customHeight="1">
      <c r="A180" s="49">
        <f t="shared" si="5"/>
        <v>176</v>
      </c>
      <c r="B180" s="28">
        <f>DCA_Forecast_Model!G181</f>
        <v>2781.449114</v>
      </c>
      <c r="C180" s="28">
        <f>DCA_Forecast_Model!H181</f>
        <v>35.8018936</v>
      </c>
      <c r="D180" s="29">
        <f>B180*'Economic Inputs Parameters'!$B$2</f>
        <v>8344.347341</v>
      </c>
      <c r="E180" s="29">
        <f>C180*'Economic Inputs Parameters'!$B$3</f>
        <v>2506.132552</v>
      </c>
      <c r="F180" s="29">
        <f t="shared" si="1"/>
        <v>10850.47989</v>
      </c>
      <c r="G180" s="28">
        <f>'Economic Inputs Parameters'!$B$4</f>
        <v>3000</v>
      </c>
      <c r="H180" s="28">
        <f t="shared" si="2"/>
        <v>7850.479893</v>
      </c>
      <c r="I180" s="29">
        <v>0.0</v>
      </c>
      <c r="J180" s="28">
        <f t="shared" si="3"/>
        <v>7850.479893</v>
      </c>
      <c r="K180" s="28">
        <f>1/(1+'Economic Inputs Parameters'!$B$5)^(A180)</f>
        <v>0.2334538146</v>
      </c>
      <c r="L180" s="28">
        <f t="shared" si="4"/>
        <v>1832.724478</v>
      </c>
      <c r="M180" s="60">
        <f t="shared" si="6"/>
        <v>-5365114.158</v>
      </c>
    </row>
    <row r="181" ht="12.75" customHeight="1">
      <c r="A181" s="49">
        <f t="shared" si="5"/>
        <v>177</v>
      </c>
      <c r="B181" s="28">
        <f>DCA_Forecast_Model!G182</f>
        <v>2731.830933</v>
      </c>
      <c r="C181" s="28">
        <f>DCA_Forecast_Model!H182</f>
        <v>35.16322478</v>
      </c>
      <c r="D181" s="29">
        <f>B181*'Economic Inputs Parameters'!$B$2</f>
        <v>8195.492799</v>
      </c>
      <c r="E181" s="29">
        <f>C181*'Economic Inputs Parameters'!$B$3</f>
        <v>2461.425734</v>
      </c>
      <c r="F181" s="29">
        <f t="shared" si="1"/>
        <v>10656.91853</v>
      </c>
      <c r="G181" s="28">
        <f>'Economic Inputs Parameters'!$B$4</f>
        <v>3000</v>
      </c>
      <c r="H181" s="28">
        <f t="shared" si="2"/>
        <v>7656.918533</v>
      </c>
      <c r="I181" s="29">
        <v>0.0</v>
      </c>
      <c r="J181" s="28">
        <f t="shared" si="3"/>
        <v>7656.918533</v>
      </c>
      <c r="K181" s="28">
        <f>1/(1+'Economic Inputs Parameters'!$B$5)^(A181)</f>
        <v>0.2315320982</v>
      </c>
      <c r="L181" s="28">
        <f t="shared" si="4"/>
        <v>1772.822414</v>
      </c>
      <c r="M181" s="60">
        <f t="shared" si="6"/>
        <v>-5363341.335</v>
      </c>
    </row>
    <row r="182" ht="12.75" customHeight="1">
      <c r="A182" s="49">
        <f t="shared" si="5"/>
        <v>178</v>
      </c>
      <c r="B182" s="28">
        <f>DCA_Forecast_Model!G183</f>
        <v>2683.097889</v>
      </c>
      <c r="C182" s="28">
        <f>DCA_Forecast_Model!H183</f>
        <v>34.53594915</v>
      </c>
      <c r="D182" s="29">
        <f>B182*'Economic Inputs Parameters'!$B$2</f>
        <v>8049.293668</v>
      </c>
      <c r="E182" s="29">
        <f>C182*'Economic Inputs Parameters'!$B$3</f>
        <v>2417.51644</v>
      </c>
      <c r="F182" s="29">
        <f t="shared" si="1"/>
        <v>10466.81011</v>
      </c>
      <c r="G182" s="28">
        <f>'Economic Inputs Parameters'!$B$4</f>
        <v>3000</v>
      </c>
      <c r="H182" s="28">
        <f t="shared" si="2"/>
        <v>7466.810108</v>
      </c>
      <c r="I182" s="29">
        <v>0.0</v>
      </c>
      <c r="J182" s="28">
        <f t="shared" si="3"/>
        <v>7466.810108</v>
      </c>
      <c r="K182" s="28">
        <f>1/(1+'Economic Inputs Parameters'!$B$5)^(A182)</f>
        <v>0.2296262008</v>
      </c>
      <c r="L182" s="28">
        <f t="shared" si="4"/>
        <v>1714.575237</v>
      </c>
      <c r="M182" s="60">
        <f t="shared" si="6"/>
        <v>-5361626.76</v>
      </c>
    </row>
    <row r="183" ht="12.75" customHeight="1">
      <c r="A183" s="49">
        <f t="shared" si="5"/>
        <v>179</v>
      </c>
      <c r="B183" s="28">
        <f>DCA_Forecast_Model!G184</f>
        <v>2635.234193</v>
      </c>
      <c r="C183" s="28">
        <f>DCA_Forecast_Model!H184</f>
        <v>33.91986347</v>
      </c>
      <c r="D183" s="29">
        <f>B183*'Economic Inputs Parameters'!$B$2</f>
        <v>7905.702579</v>
      </c>
      <c r="E183" s="29">
        <f>C183*'Economic Inputs Parameters'!$B$3</f>
        <v>2374.390443</v>
      </c>
      <c r="F183" s="29">
        <f t="shared" si="1"/>
        <v>10280.09302</v>
      </c>
      <c r="G183" s="28">
        <f>'Economic Inputs Parameters'!$B$4</f>
        <v>3000</v>
      </c>
      <c r="H183" s="28">
        <f t="shared" si="2"/>
        <v>7280.093022</v>
      </c>
      <c r="I183" s="29">
        <v>0.0</v>
      </c>
      <c r="J183" s="28">
        <f t="shared" si="3"/>
        <v>7280.093022</v>
      </c>
      <c r="K183" s="28">
        <f>1/(1+'Economic Inputs Parameters'!$B$5)^(A183)</f>
        <v>0.227735992</v>
      </c>
      <c r="L183" s="28">
        <f t="shared" si="4"/>
        <v>1657.939206</v>
      </c>
      <c r="M183" s="60">
        <f t="shared" si="6"/>
        <v>-5359968.821</v>
      </c>
    </row>
    <row r="184" ht="12.75" customHeight="1">
      <c r="A184" s="49">
        <f t="shared" si="5"/>
        <v>180</v>
      </c>
      <c r="B184" s="28">
        <f>DCA_Forecast_Model!G185</f>
        <v>2588.224335</v>
      </c>
      <c r="C184" s="28">
        <f>DCA_Forecast_Model!H185</f>
        <v>33.31476812</v>
      </c>
      <c r="D184" s="29">
        <f>B184*'Economic Inputs Parameters'!$B$2</f>
        <v>7764.673006</v>
      </c>
      <c r="E184" s="29">
        <f>C184*'Economic Inputs Parameters'!$B$3</f>
        <v>2332.033769</v>
      </c>
      <c r="F184" s="29">
        <f t="shared" si="1"/>
        <v>10096.70677</v>
      </c>
      <c r="G184" s="28">
        <f>'Economic Inputs Parameters'!$B$4</f>
        <v>3000</v>
      </c>
      <c r="H184" s="28">
        <f t="shared" si="2"/>
        <v>7096.706775</v>
      </c>
      <c r="I184" s="29">
        <v>0.0</v>
      </c>
      <c r="J184" s="28">
        <f t="shared" si="3"/>
        <v>7096.706775</v>
      </c>
      <c r="K184" s="28">
        <f>1/(1+'Economic Inputs Parameters'!$B$5)^(A184)</f>
        <v>0.2258613429</v>
      </c>
      <c r="L184" s="28">
        <f t="shared" si="4"/>
        <v>1602.871722</v>
      </c>
      <c r="M184" s="60">
        <f t="shared" si="6"/>
        <v>-5358365.949</v>
      </c>
    </row>
    <row r="185" ht="12.75" customHeight="1">
      <c r="A185" s="49">
        <f t="shared" si="5"/>
        <v>181</v>
      </c>
      <c r="B185" s="28">
        <f>DCA_Forecast_Model!G186</f>
        <v>2542.053085</v>
      </c>
      <c r="C185" s="28">
        <f>DCA_Forecast_Model!H186</f>
        <v>32.72046705</v>
      </c>
      <c r="D185" s="29">
        <f>B185*'Economic Inputs Parameters'!$B$2</f>
        <v>7626.159256</v>
      </c>
      <c r="E185" s="29">
        <f>C185*'Economic Inputs Parameters'!$B$3</f>
        <v>2290.432694</v>
      </c>
      <c r="F185" s="29">
        <f t="shared" si="1"/>
        <v>9916.591949</v>
      </c>
      <c r="G185" s="28">
        <f>'Economic Inputs Parameters'!$B$4</f>
        <v>3000</v>
      </c>
      <c r="H185" s="28">
        <f t="shared" si="2"/>
        <v>6916.591949</v>
      </c>
      <c r="I185" s="29">
        <v>0.0</v>
      </c>
      <c r="J185" s="28">
        <f t="shared" si="3"/>
        <v>6916.591949</v>
      </c>
      <c r="K185" s="28">
        <f>1/(1+'Economic Inputs Parameters'!$B$5)^(A185)</f>
        <v>0.2240021252</v>
      </c>
      <c r="L185" s="28">
        <f t="shared" si="4"/>
        <v>1549.331296</v>
      </c>
      <c r="M185" s="60">
        <f t="shared" si="6"/>
        <v>-5356816.618</v>
      </c>
    </row>
    <row r="186" ht="12.75" customHeight="1">
      <c r="A186" s="49">
        <f t="shared" si="5"/>
        <v>182</v>
      </c>
      <c r="B186" s="28">
        <f>DCA_Forecast_Model!G187</f>
        <v>2496.705483</v>
      </c>
      <c r="C186" s="28">
        <f>DCA_Forecast_Model!H187</f>
        <v>32.1367677</v>
      </c>
      <c r="D186" s="29">
        <f>B186*'Economic Inputs Parameters'!$B$2</f>
        <v>7490.116448</v>
      </c>
      <c r="E186" s="29">
        <f>C186*'Economic Inputs Parameters'!$B$3</f>
        <v>2249.573739</v>
      </c>
      <c r="F186" s="29">
        <f t="shared" si="1"/>
        <v>9739.690186</v>
      </c>
      <c r="G186" s="28">
        <f>'Economic Inputs Parameters'!$B$4</f>
        <v>3000</v>
      </c>
      <c r="H186" s="28">
        <f t="shared" si="2"/>
        <v>6739.690186</v>
      </c>
      <c r="I186" s="29">
        <v>0.0</v>
      </c>
      <c r="J186" s="28">
        <f t="shared" si="3"/>
        <v>6739.690186</v>
      </c>
      <c r="K186" s="28">
        <f>1/(1+'Economic Inputs Parameters'!$B$5)^(A186)</f>
        <v>0.2221582121</v>
      </c>
      <c r="L186" s="28">
        <f t="shared" si="4"/>
        <v>1497.277522</v>
      </c>
      <c r="M186" s="60">
        <f t="shared" si="6"/>
        <v>-5355319.34</v>
      </c>
    </row>
    <row r="187" ht="12.75" customHeight="1">
      <c r="A187" s="49">
        <f t="shared" si="5"/>
        <v>183</v>
      </c>
      <c r="B187" s="28">
        <f>DCA_Forecast_Model!G188</f>
        <v>2452.166834</v>
      </c>
      <c r="C187" s="28">
        <f>DCA_Forecast_Model!H188</f>
        <v>31.56348094</v>
      </c>
      <c r="D187" s="29">
        <f>B187*'Economic Inputs Parameters'!$B$2</f>
        <v>7356.500503</v>
      </c>
      <c r="E187" s="29">
        <f>C187*'Economic Inputs Parameters'!$B$3</f>
        <v>2209.443666</v>
      </c>
      <c r="F187" s="29">
        <f t="shared" si="1"/>
        <v>9565.944168</v>
      </c>
      <c r="G187" s="28">
        <f>'Economic Inputs Parameters'!$B$4</f>
        <v>3000</v>
      </c>
      <c r="H187" s="28">
        <f t="shared" si="2"/>
        <v>6565.944168</v>
      </c>
      <c r="I187" s="29">
        <v>0.0</v>
      </c>
      <c r="J187" s="28">
        <f t="shared" si="3"/>
        <v>6565.944168</v>
      </c>
      <c r="K187" s="28">
        <f>1/(1+'Economic Inputs Parameters'!$B$5)^(A187)</f>
        <v>0.2203294774</v>
      </c>
      <c r="L187" s="28">
        <f t="shared" si="4"/>
        <v>1446.671047</v>
      </c>
      <c r="M187" s="60">
        <f t="shared" si="6"/>
        <v>-5353872.669</v>
      </c>
    </row>
    <row r="188" ht="12.75" customHeight="1">
      <c r="A188" s="49">
        <f t="shared" si="5"/>
        <v>184</v>
      </c>
      <c r="B188" s="28">
        <f>DCA_Forecast_Model!G189</f>
        <v>2408.422709</v>
      </c>
      <c r="C188" s="28">
        <f>DCA_Forecast_Model!H189</f>
        <v>31.00042102</v>
      </c>
      <c r="D188" s="29">
        <f>B188*'Economic Inputs Parameters'!$B$2</f>
        <v>7225.268128</v>
      </c>
      <c r="E188" s="29">
        <f>C188*'Economic Inputs Parameters'!$B$3</f>
        <v>2170.029472</v>
      </c>
      <c r="F188" s="29">
        <f t="shared" si="1"/>
        <v>9395.2976</v>
      </c>
      <c r="G188" s="28">
        <f>'Economic Inputs Parameters'!$B$4</f>
        <v>3000</v>
      </c>
      <c r="H188" s="28">
        <f t="shared" si="2"/>
        <v>6395.2976</v>
      </c>
      <c r="I188" s="29">
        <v>0.0</v>
      </c>
      <c r="J188" s="28">
        <f t="shared" si="3"/>
        <v>6395.2976</v>
      </c>
      <c r="K188" s="28">
        <f>1/(1+'Economic Inputs Parameters'!$B$5)^(A188)</f>
        <v>0.2185157963</v>
      </c>
      <c r="L188" s="28">
        <f t="shared" si="4"/>
        <v>1397.473548</v>
      </c>
      <c r="M188" s="60">
        <f t="shared" si="6"/>
        <v>-5352475.196</v>
      </c>
    </row>
    <row r="189" ht="12.75" customHeight="1">
      <c r="A189" s="49">
        <f t="shared" si="5"/>
        <v>185</v>
      </c>
      <c r="B189" s="28">
        <f>DCA_Forecast_Model!G190</f>
        <v>2365.458935</v>
      </c>
      <c r="C189" s="28">
        <f>DCA_Forecast_Model!H190</f>
        <v>30.44740552</v>
      </c>
      <c r="D189" s="29">
        <f>B189*'Economic Inputs Parameters'!$B$2</f>
        <v>7096.376804</v>
      </c>
      <c r="E189" s="29">
        <f>C189*'Economic Inputs Parameters'!$B$3</f>
        <v>2131.318386</v>
      </c>
      <c r="F189" s="29">
        <f t="shared" si="1"/>
        <v>9227.69519</v>
      </c>
      <c r="G189" s="28">
        <f>'Economic Inputs Parameters'!$B$4</f>
        <v>3000</v>
      </c>
      <c r="H189" s="28">
        <f t="shared" si="2"/>
        <v>6227.69519</v>
      </c>
      <c r="I189" s="29">
        <v>0.0</v>
      </c>
      <c r="J189" s="28">
        <f t="shared" si="3"/>
        <v>6227.69519</v>
      </c>
      <c r="K189" s="28">
        <f>1/(1+'Economic Inputs Parameters'!$B$5)^(A189)</f>
        <v>0.2167170448</v>
      </c>
      <c r="L189" s="28">
        <f t="shared" si="4"/>
        <v>1349.647698</v>
      </c>
      <c r="M189" s="60">
        <f t="shared" si="6"/>
        <v>-5351125.548</v>
      </c>
    </row>
    <row r="190" ht="12.75" customHeight="1">
      <c r="A190" s="49">
        <f t="shared" si="5"/>
        <v>186</v>
      </c>
      <c r="B190" s="28">
        <f>DCA_Forecast_Model!G191</f>
        <v>2323.261589</v>
      </c>
      <c r="C190" s="28">
        <f>DCA_Forecast_Model!H191</f>
        <v>29.90425524</v>
      </c>
      <c r="D190" s="29">
        <f>B190*'Economic Inputs Parameters'!$B$2</f>
        <v>6969.784768</v>
      </c>
      <c r="E190" s="29">
        <f>C190*'Economic Inputs Parameters'!$B$3</f>
        <v>2093.297866</v>
      </c>
      <c r="F190" s="29">
        <f t="shared" si="1"/>
        <v>9063.082634</v>
      </c>
      <c r="G190" s="28">
        <f>'Economic Inputs Parameters'!$B$4</f>
        <v>3000</v>
      </c>
      <c r="H190" s="28">
        <f t="shared" si="2"/>
        <v>6063.082634</v>
      </c>
      <c r="I190" s="29">
        <v>0.0</v>
      </c>
      <c r="J190" s="28">
        <f t="shared" si="3"/>
        <v>6063.082634</v>
      </c>
      <c r="K190" s="28">
        <f>1/(1+'Economic Inputs Parameters'!$B$5)^(A190)</f>
        <v>0.2149331001</v>
      </c>
      <c r="L190" s="28">
        <f t="shared" si="4"/>
        <v>1303.157147</v>
      </c>
      <c r="M190" s="60">
        <f t="shared" si="6"/>
        <v>-5349822.391</v>
      </c>
    </row>
    <row r="191" ht="12.75" customHeight="1">
      <c r="A191" s="49">
        <f t="shared" si="5"/>
        <v>187</v>
      </c>
      <c r="B191" s="28">
        <f>DCA_Forecast_Model!G192</f>
        <v>2281.817001</v>
      </c>
      <c r="C191" s="28">
        <f>DCA_Forecast_Model!H192</f>
        <v>29.37079419</v>
      </c>
      <c r="D191" s="29">
        <f>B191*'Economic Inputs Parameters'!$B$2</f>
        <v>6845.451003</v>
      </c>
      <c r="E191" s="29">
        <f>C191*'Economic Inputs Parameters'!$B$3</f>
        <v>2055.955594</v>
      </c>
      <c r="F191" s="29">
        <f t="shared" si="1"/>
        <v>8901.406596</v>
      </c>
      <c r="G191" s="28">
        <f>'Economic Inputs Parameters'!$B$4</f>
        <v>3000</v>
      </c>
      <c r="H191" s="28">
        <f t="shared" si="2"/>
        <v>5901.406596</v>
      </c>
      <c r="I191" s="29">
        <v>0.0</v>
      </c>
      <c r="J191" s="28">
        <f t="shared" si="3"/>
        <v>5901.406596</v>
      </c>
      <c r="K191" s="28">
        <f>1/(1+'Economic Inputs Parameters'!$B$5)^(A191)</f>
        <v>0.2131638402</v>
      </c>
      <c r="L191" s="28">
        <f t="shared" si="4"/>
        <v>1257.966493</v>
      </c>
      <c r="M191" s="60">
        <f t="shared" si="6"/>
        <v>-5348564.425</v>
      </c>
    </row>
    <row r="192" ht="12.75" customHeight="1">
      <c r="A192" s="49">
        <f t="shared" si="5"/>
        <v>188</v>
      </c>
      <c r="B192" s="28">
        <f>DCA_Forecast_Model!G193</f>
        <v>2241.111741</v>
      </c>
      <c r="C192" s="28">
        <f>DCA_Forecast_Model!H193</f>
        <v>28.84684955</v>
      </c>
      <c r="D192" s="29">
        <f>B192*'Economic Inputs Parameters'!$B$2</f>
        <v>6723.335224</v>
      </c>
      <c r="E192" s="29">
        <f>C192*'Economic Inputs Parameters'!$B$3</f>
        <v>2019.279468</v>
      </c>
      <c r="F192" s="29">
        <f t="shared" si="1"/>
        <v>8742.614692</v>
      </c>
      <c r="G192" s="28">
        <f>'Economic Inputs Parameters'!$B$4</f>
        <v>3000</v>
      </c>
      <c r="H192" s="28">
        <f t="shared" si="2"/>
        <v>5742.614692</v>
      </c>
      <c r="I192" s="29">
        <v>0.0</v>
      </c>
      <c r="J192" s="28">
        <f t="shared" si="3"/>
        <v>5742.614692</v>
      </c>
      <c r="K192" s="28">
        <f>1/(1+'Economic Inputs Parameters'!$B$5)^(A192)</f>
        <v>0.2114091443</v>
      </c>
      <c r="L192" s="28">
        <f t="shared" si="4"/>
        <v>1214.041258</v>
      </c>
      <c r="M192" s="60">
        <f t="shared" si="6"/>
        <v>-5347350.383</v>
      </c>
    </row>
    <row r="193" ht="12.75" customHeight="1">
      <c r="A193" s="49">
        <f t="shared" si="5"/>
        <v>189</v>
      </c>
      <c r="B193" s="28">
        <f>DCA_Forecast_Model!G194</f>
        <v>2201.132621</v>
      </c>
      <c r="C193" s="28">
        <f>DCA_Forecast_Model!H194</f>
        <v>28.33225153</v>
      </c>
      <c r="D193" s="29">
        <f>B193*'Economic Inputs Parameters'!$B$2</f>
        <v>6603.397864</v>
      </c>
      <c r="E193" s="29">
        <f>C193*'Economic Inputs Parameters'!$B$3</f>
        <v>1983.257607</v>
      </c>
      <c r="F193" s="29">
        <f t="shared" si="1"/>
        <v>8586.655471</v>
      </c>
      <c r="G193" s="28">
        <f>'Economic Inputs Parameters'!$B$4</f>
        <v>3000</v>
      </c>
      <c r="H193" s="28">
        <f t="shared" si="2"/>
        <v>5586.655471</v>
      </c>
      <c r="I193" s="29">
        <v>0.0</v>
      </c>
      <c r="J193" s="28">
        <f t="shared" si="3"/>
        <v>5586.655471</v>
      </c>
      <c r="K193" s="28">
        <f>1/(1+'Economic Inputs Parameters'!$B$5)^(A193)</f>
        <v>0.2096688925</v>
      </c>
      <c r="L193" s="28">
        <f t="shared" si="4"/>
        <v>1171.347866</v>
      </c>
      <c r="M193" s="60">
        <f t="shared" si="6"/>
        <v>-5346179.035</v>
      </c>
    </row>
    <row r="194" ht="12.75" customHeight="1">
      <c r="A194" s="49">
        <f t="shared" si="5"/>
        <v>190</v>
      </c>
      <c r="B194" s="28">
        <f>DCA_Forecast_Model!G195</f>
        <v>2161.866688</v>
      </c>
      <c r="C194" s="28">
        <f>DCA_Forecast_Model!H195</f>
        <v>27.82683341</v>
      </c>
      <c r="D194" s="29">
        <f>B194*'Economic Inputs Parameters'!$B$2</f>
        <v>6485.600063</v>
      </c>
      <c r="E194" s="29">
        <f>C194*'Economic Inputs Parameters'!$B$3</f>
        <v>1947.878339</v>
      </c>
      <c r="F194" s="29">
        <f t="shared" si="1"/>
        <v>8433.478402</v>
      </c>
      <c r="G194" s="28">
        <f>'Economic Inputs Parameters'!$B$4</f>
        <v>3000</v>
      </c>
      <c r="H194" s="28">
        <f t="shared" si="2"/>
        <v>5433.478402</v>
      </c>
      <c r="I194" s="29">
        <v>0.0</v>
      </c>
      <c r="J194" s="28">
        <f t="shared" si="3"/>
        <v>5433.478402</v>
      </c>
      <c r="K194" s="28">
        <f>1/(1+'Economic Inputs Parameters'!$B$5)^(A194)</f>
        <v>0.2079429659</v>
      </c>
      <c r="L194" s="28">
        <f t="shared" si="4"/>
        <v>1129.853614</v>
      </c>
      <c r="M194" s="60">
        <f t="shared" si="6"/>
        <v>-5345049.182</v>
      </c>
    </row>
    <row r="195" ht="12.75" customHeight="1">
      <c r="A195" s="49">
        <f t="shared" si="5"/>
        <v>191</v>
      </c>
      <c r="B195" s="28">
        <f>DCA_Forecast_Model!G196</f>
        <v>2123.301218</v>
      </c>
      <c r="C195" s="28">
        <f>DCA_Forecast_Model!H196</f>
        <v>27.33043143</v>
      </c>
      <c r="D195" s="29">
        <f>B195*'Economic Inputs Parameters'!$B$2</f>
        <v>6369.903654</v>
      </c>
      <c r="E195" s="29">
        <f>C195*'Economic Inputs Parameters'!$B$3</f>
        <v>1913.1302</v>
      </c>
      <c r="F195" s="29">
        <f t="shared" si="1"/>
        <v>8283.033854</v>
      </c>
      <c r="G195" s="28">
        <f>'Economic Inputs Parameters'!$B$4</f>
        <v>3000</v>
      </c>
      <c r="H195" s="28">
        <f t="shared" si="2"/>
        <v>5283.033854</v>
      </c>
      <c r="I195" s="29">
        <v>0.0</v>
      </c>
      <c r="J195" s="28">
        <f t="shared" si="3"/>
        <v>5283.033854</v>
      </c>
      <c r="K195" s="28">
        <f>1/(1+'Economic Inputs Parameters'!$B$5)^(A195)</f>
        <v>0.2062312466</v>
      </c>
      <c r="L195" s="28">
        <f t="shared" si="4"/>
        <v>1089.526657</v>
      </c>
      <c r="M195" s="60">
        <f t="shared" si="6"/>
        <v>-5343959.655</v>
      </c>
    </row>
    <row r="196" ht="12.75" customHeight="1">
      <c r="A196" s="49">
        <f t="shared" si="5"/>
        <v>192</v>
      </c>
      <c r="B196" s="28">
        <f>DCA_Forecast_Model!G197</f>
        <v>2085.423716</v>
      </c>
      <c r="C196" s="28">
        <f>DCA_Forecast_Model!H197</f>
        <v>26.84288475</v>
      </c>
      <c r="D196" s="29">
        <f>B196*'Economic Inputs Parameters'!$B$2</f>
        <v>6256.271149</v>
      </c>
      <c r="E196" s="29">
        <f>C196*'Economic Inputs Parameters'!$B$3</f>
        <v>1879.001932</v>
      </c>
      <c r="F196" s="29">
        <f t="shared" si="1"/>
        <v>8135.273081</v>
      </c>
      <c r="G196" s="28">
        <f>'Economic Inputs Parameters'!$B$4</f>
        <v>3000</v>
      </c>
      <c r="H196" s="28">
        <f t="shared" si="2"/>
        <v>5135.273081</v>
      </c>
      <c r="I196" s="29">
        <v>0.0</v>
      </c>
      <c r="J196" s="28">
        <f t="shared" si="3"/>
        <v>5135.273081</v>
      </c>
      <c r="K196" s="28">
        <f>1/(1+'Economic Inputs Parameters'!$B$5)^(A196)</f>
        <v>0.2045336175</v>
      </c>
      <c r="L196" s="28">
        <f t="shared" si="4"/>
        <v>1050.33598</v>
      </c>
      <c r="M196" s="60">
        <f t="shared" si="6"/>
        <v>-5342909.319</v>
      </c>
    </row>
    <row r="197" ht="12.75" customHeight="1">
      <c r="A197" s="49">
        <f t="shared" si="5"/>
        <v>193</v>
      </c>
      <c r="B197" s="28">
        <f>DCA_Forecast_Model!G198</f>
        <v>2048.22191</v>
      </c>
      <c r="C197" s="28">
        <f>DCA_Forecast_Model!H198</f>
        <v>26.3640354</v>
      </c>
      <c r="D197" s="29">
        <f>B197*'Economic Inputs Parameters'!$B$2</f>
        <v>6144.66573</v>
      </c>
      <c r="E197" s="29">
        <f>C197*'Economic Inputs Parameters'!$B$3</f>
        <v>1845.482478</v>
      </c>
      <c r="F197" s="29">
        <f t="shared" si="1"/>
        <v>7990.148208</v>
      </c>
      <c r="G197" s="28">
        <f>'Economic Inputs Parameters'!$B$4</f>
        <v>3000</v>
      </c>
      <c r="H197" s="28">
        <f t="shared" si="2"/>
        <v>4990.148208</v>
      </c>
      <c r="I197" s="29">
        <v>0.0</v>
      </c>
      <c r="J197" s="28">
        <f t="shared" si="3"/>
        <v>4990.148208</v>
      </c>
      <c r="K197" s="28">
        <f>1/(1+'Economic Inputs Parameters'!$B$5)^(A197)</f>
        <v>0.2028499628</v>
      </c>
      <c r="L197" s="28">
        <f t="shared" si="4"/>
        <v>1012.251379</v>
      </c>
      <c r="M197" s="60">
        <f t="shared" si="6"/>
        <v>-5341897.068</v>
      </c>
    </row>
    <row r="198" ht="12.75" customHeight="1">
      <c r="A198" s="49">
        <f t="shared" si="5"/>
        <v>194</v>
      </c>
      <c r="B198" s="28">
        <f>DCA_Forecast_Model!G199</f>
        <v>2011.683746</v>
      </c>
      <c r="C198" s="28">
        <f>DCA_Forecast_Model!H199</f>
        <v>25.89372822</v>
      </c>
      <c r="D198" s="29">
        <f>B198*'Economic Inputs Parameters'!$B$2</f>
        <v>6035.051237</v>
      </c>
      <c r="E198" s="29">
        <f>C198*'Economic Inputs Parameters'!$B$3</f>
        <v>1812.560976</v>
      </c>
      <c r="F198" s="29">
        <f t="shared" si="1"/>
        <v>7847.612213</v>
      </c>
      <c r="G198" s="28">
        <f>'Economic Inputs Parameters'!$B$4</f>
        <v>3000</v>
      </c>
      <c r="H198" s="28">
        <f t="shared" si="2"/>
        <v>4847.612213</v>
      </c>
      <c r="I198" s="29">
        <v>0.0</v>
      </c>
      <c r="J198" s="28">
        <f t="shared" si="3"/>
        <v>4847.612213</v>
      </c>
      <c r="K198" s="28">
        <f>1/(1+'Economic Inputs Parameters'!$B$5)^(A198)</f>
        <v>0.2011801675</v>
      </c>
      <c r="L198" s="28">
        <f t="shared" si="4"/>
        <v>975.2434367</v>
      </c>
      <c r="M198" s="60">
        <f t="shared" si="6"/>
        <v>-5340921.824</v>
      </c>
    </row>
    <row r="199" ht="12.75" customHeight="1">
      <c r="A199" s="49">
        <f t="shared" si="5"/>
        <v>195</v>
      </c>
      <c r="B199" s="28">
        <f>DCA_Forecast_Model!G200</f>
        <v>1975.797384</v>
      </c>
      <c r="C199" s="28">
        <f>DCA_Forecast_Model!H200</f>
        <v>25.43181084</v>
      </c>
      <c r="D199" s="29">
        <f>B199*'Economic Inputs Parameters'!$B$2</f>
        <v>5927.392153</v>
      </c>
      <c r="E199" s="29">
        <f>C199*'Economic Inputs Parameters'!$B$3</f>
        <v>1780.226759</v>
      </c>
      <c r="F199" s="29">
        <f t="shared" si="1"/>
        <v>7707.618912</v>
      </c>
      <c r="G199" s="28">
        <f>'Economic Inputs Parameters'!$B$4</f>
        <v>3000</v>
      </c>
      <c r="H199" s="28">
        <f t="shared" si="2"/>
        <v>4707.618912</v>
      </c>
      <c r="I199" s="29">
        <v>0.0</v>
      </c>
      <c r="J199" s="28">
        <f t="shared" si="3"/>
        <v>4707.618912</v>
      </c>
      <c r="K199" s="28">
        <f>1/(1+'Economic Inputs Parameters'!$B$5)^(A199)</f>
        <v>0.1995241173</v>
      </c>
      <c r="L199" s="28">
        <f t="shared" si="4"/>
        <v>939.283508</v>
      </c>
      <c r="M199" s="60">
        <f t="shared" si="6"/>
        <v>-5339982.541</v>
      </c>
    </row>
    <row r="200" ht="12.75" customHeight="1">
      <c r="A200" s="49">
        <f t="shared" si="5"/>
        <v>196</v>
      </c>
      <c r="B200" s="28">
        <f>DCA_Forecast_Model!G201</f>
        <v>1940.551199</v>
      </c>
      <c r="C200" s="28">
        <f>DCA_Forecast_Model!H201</f>
        <v>24.97813359</v>
      </c>
      <c r="D200" s="29">
        <f>B200*'Economic Inputs Parameters'!$B$2</f>
        <v>5821.653596</v>
      </c>
      <c r="E200" s="29">
        <f>C200*'Economic Inputs Parameters'!$B$3</f>
        <v>1748.469351</v>
      </c>
      <c r="F200" s="29">
        <f t="shared" si="1"/>
        <v>7570.122948</v>
      </c>
      <c r="G200" s="28">
        <f>'Economic Inputs Parameters'!$B$4</f>
        <v>3000</v>
      </c>
      <c r="H200" s="28">
        <f t="shared" si="2"/>
        <v>4570.122948</v>
      </c>
      <c r="I200" s="29">
        <v>0.0</v>
      </c>
      <c r="J200" s="28">
        <f t="shared" si="3"/>
        <v>4570.122948</v>
      </c>
      <c r="K200" s="28">
        <f>1/(1+'Economic Inputs Parameters'!$B$5)^(A200)</f>
        <v>0.1978816992</v>
      </c>
      <c r="L200" s="28">
        <f t="shared" si="4"/>
        <v>904.3436944</v>
      </c>
      <c r="M200" s="60">
        <f t="shared" si="6"/>
        <v>-5339078.197</v>
      </c>
    </row>
    <row r="201" ht="12.75" customHeight="1">
      <c r="A201" s="49">
        <f t="shared" si="5"/>
        <v>197</v>
      </c>
      <c r="B201" s="28">
        <f>DCA_Forecast_Model!G202</f>
        <v>1905.933769</v>
      </c>
      <c r="C201" s="28">
        <f>DCA_Forecast_Model!H202</f>
        <v>24.53254948</v>
      </c>
      <c r="D201" s="29">
        <f>B201*'Economic Inputs Parameters'!$B$2</f>
        <v>5717.801306</v>
      </c>
      <c r="E201" s="29">
        <f>C201*'Economic Inputs Parameters'!$B$3</f>
        <v>1717.278463</v>
      </c>
      <c r="F201" s="29">
        <f t="shared" si="1"/>
        <v>7435.07977</v>
      </c>
      <c r="G201" s="28">
        <f>'Economic Inputs Parameters'!$B$4</f>
        <v>3000</v>
      </c>
      <c r="H201" s="28">
        <f t="shared" si="2"/>
        <v>4435.07977</v>
      </c>
      <c r="I201" s="29">
        <v>0.0</v>
      </c>
      <c r="J201" s="28">
        <f t="shared" si="3"/>
        <v>4435.07977</v>
      </c>
      <c r="K201" s="28">
        <f>1/(1+'Economic Inputs Parameters'!$B$5)^(A201)</f>
        <v>0.1962528009</v>
      </c>
      <c r="L201" s="28">
        <f t="shared" si="4"/>
        <v>870.3968271</v>
      </c>
      <c r="M201" s="60">
        <f t="shared" si="6"/>
        <v>-5338207.8</v>
      </c>
    </row>
    <row r="202" ht="12.75" customHeight="1">
      <c r="A202" s="49">
        <f t="shared" si="5"/>
        <v>198</v>
      </c>
      <c r="B202" s="28">
        <f>DCA_Forecast_Model!G203</f>
        <v>1871.933878</v>
      </c>
      <c r="C202" s="28">
        <f>DCA_Forecast_Model!H203</f>
        <v>24.09491412</v>
      </c>
      <c r="D202" s="29">
        <f>B202*'Economic Inputs Parameters'!$B$2</f>
        <v>5615.801634</v>
      </c>
      <c r="E202" s="29">
        <f>C202*'Economic Inputs Parameters'!$B$3</f>
        <v>1686.643988</v>
      </c>
      <c r="F202" s="29">
        <f t="shared" si="1"/>
        <v>7302.445622</v>
      </c>
      <c r="G202" s="28">
        <f>'Economic Inputs Parameters'!$B$4</f>
        <v>3000</v>
      </c>
      <c r="H202" s="28">
        <f t="shared" si="2"/>
        <v>4302.445622</v>
      </c>
      <c r="I202" s="29">
        <v>0.0</v>
      </c>
      <c r="J202" s="28">
        <f t="shared" si="3"/>
        <v>4302.445622</v>
      </c>
      <c r="K202" s="28">
        <f>1/(1+'Economic Inputs Parameters'!$B$5)^(A202)</f>
        <v>0.1946373112</v>
      </c>
      <c r="L202" s="28">
        <f t="shared" si="4"/>
        <v>837.4164477</v>
      </c>
      <c r="M202" s="60">
        <f t="shared" si="6"/>
        <v>-5337370.384</v>
      </c>
    </row>
    <row r="203" ht="12.75" customHeight="1">
      <c r="A203" s="49">
        <f t="shared" si="5"/>
        <v>199</v>
      </c>
      <c r="B203" s="28">
        <f>DCA_Forecast_Model!G204</f>
        <v>1838.54051</v>
      </c>
      <c r="C203" s="28">
        <f>DCA_Forecast_Model!H204</f>
        <v>23.66508573</v>
      </c>
      <c r="D203" s="29">
        <f>B203*'Economic Inputs Parameters'!$B$2</f>
        <v>5515.62153</v>
      </c>
      <c r="E203" s="29">
        <f>C203*'Economic Inputs Parameters'!$B$3</f>
        <v>1656.556001</v>
      </c>
      <c r="F203" s="29">
        <f t="shared" si="1"/>
        <v>7172.177531</v>
      </c>
      <c r="G203" s="28">
        <f>'Economic Inputs Parameters'!$B$4</f>
        <v>3000</v>
      </c>
      <c r="H203" s="28">
        <f t="shared" si="2"/>
        <v>4172.177531</v>
      </c>
      <c r="I203" s="29">
        <v>0.0</v>
      </c>
      <c r="J203" s="28">
        <f t="shared" si="3"/>
        <v>4172.177531</v>
      </c>
      <c r="K203" s="28">
        <f>1/(1+'Economic Inputs Parameters'!$B$5)^(A203)</f>
        <v>0.1930351198</v>
      </c>
      <c r="L203" s="28">
        <f t="shared" si="4"/>
        <v>805.3767893</v>
      </c>
      <c r="M203" s="60">
        <f t="shared" si="6"/>
        <v>-5336565.007</v>
      </c>
    </row>
    <row r="204" ht="12.75" customHeight="1">
      <c r="A204" s="49">
        <f t="shared" si="5"/>
        <v>200</v>
      </c>
      <c r="B204" s="28">
        <f>DCA_Forecast_Model!G205</f>
        <v>1805.742845</v>
      </c>
      <c r="C204" s="28">
        <f>DCA_Forecast_Model!H205</f>
        <v>23.24292503</v>
      </c>
      <c r="D204" s="29">
        <f>B204*'Economic Inputs Parameters'!$B$2</f>
        <v>5417.228536</v>
      </c>
      <c r="E204" s="29">
        <f>C204*'Economic Inputs Parameters'!$B$3</f>
        <v>1627.004752</v>
      </c>
      <c r="F204" s="29">
        <f t="shared" si="1"/>
        <v>7044.233288</v>
      </c>
      <c r="G204" s="28">
        <f>'Economic Inputs Parameters'!$B$4</f>
        <v>3000</v>
      </c>
      <c r="H204" s="28">
        <f t="shared" si="2"/>
        <v>4044.233288</v>
      </c>
      <c r="I204" s="29">
        <v>0.0</v>
      </c>
      <c r="J204" s="28">
        <f t="shared" si="3"/>
        <v>4044.233288</v>
      </c>
      <c r="K204" s="28">
        <f>1/(1+'Economic Inputs Parameters'!$B$5)^(A204)</f>
        <v>0.191446117</v>
      </c>
      <c r="L204" s="28">
        <f t="shared" si="4"/>
        <v>774.2527592</v>
      </c>
      <c r="M204" s="60">
        <f t="shared" si="6"/>
        <v>-5335790.754</v>
      </c>
    </row>
    <row r="205" ht="12.75" customHeight="1">
      <c r="A205" s="49">
        <f t="shared" si="5"/>
        <v>201</v>
      </c>
      <c r="B205" s="28">
        <f>DCA_Forecast_Model!G206</f>
        <v>1773.530257</v>
      </c>
      <c r="C205" s="28">
        <f>DCA_Forecast_Model!H206</f>
        <v>22.82829524</v>
      </c>
      <c r="D205" s="29">
        <f>B205*'Economic Inputs Parameters'!$B$2</f>
        <v>5320.590772</v>
      </c>
      <c r="E205" s="29">
        <f>C205*'Economic Inputs Parameters'!$B$3</f>
        <v>1597.980667</v>
      </c>
      <c r="F205" s="29">
        <f t="shared" si="1"/>
        <v>6918.571438</v>
      </c>
      <c r="G205" s="28">
        <f>'Economic Inputs Parameters'!$B$4</f>
        <v>3000</v>
      </c>
      <c r="H205" s="28">
        <f t="shared" si="2"/>
        <v>3918.571438</v>
      </c>
      <c r="I205" s="29">
        <v>0.0</v>
      </c>
      <c r="J205" s="28">
        <f t="shared" si="3"/>
        <v>3918.571438</v>
      </c>
      <c r="K205" s="28">
        <f>1/(1+'Economic Inputs Parameters'!$B$5)^(A205)</f>
        <v>0.1898701944</v>
      </c>
      <c r="L205" s="28">
        <f t="shared" si="4"/>
        <v>744.0199207</v>
      </c>
      <c r="M205" s="60">
        <f t="shared" si="6"/>
        <v>-5335046.734</v>
      </c>
    </row>
    <row r="206" ht="12.75" customHeight="1">
      <c r="A206" s="49">
        <f t="shared" si="5"/>
        <v>202</v>
      </c>
      <c r="B206" s="28">
        <f>DCA_Forecast_Model!G207</f>
        <v>1741.892308</v>
      </c>
      <c r="C206" s="28">
        <f>DCA_Forecast_Model!H207</f>
        <v>22.42106202</v>
      </c>
      <c r="D206" s="29">
        <f>B206*'Economic Inputs Parameters'!$B$2</f>
        <v>5225.676925</v>
      </c>
      <c r="E206" s="29">
        <f>C206*'Economic Inputs Parameters'!$B$3</f>
        <v>1569.474341</v>
      </c>
      <c r="F206" s="29">
        <f t="shared" si="1"/>
        <v>6795.151266</v>
      </c>
      <c r="G206" s="28">
        <f>'Economic Inputs Parameters'!$B$4</f>
        <v>3000</v>
      </c>
      <c r="H206" s="28">
        <f t="shared" si="2"/>
        <v>3795.151266</v>
      </c>
      <c r="I206" s="29">
        <v>0.0</v>
      </c>
      <c r="J206" s="28">
        <f t="shared" si="3"/>
        <v>3795.151266</v>
      </c>
      <c r="K206" s="28">
        <f>1/(1+'Economic Inputs Parameters'!$B$5)^(A206)</f>
        <v>0.1883072442</v>
      </c>
      <c r="L206" s="28">
        <f t="shared" si="4"/>
        <v>714.6544765</v>
      </c>
      <c r="M206" s="60">
        <f t="shared" si="6"/>
        <v>-5334332.08</v>
      </c>
    </row>
    <row r="207" ht="12.75" customHeight="1">
      <c r="A207" s="49">
        <f t="shared" si="5"/>
        <v>203</v>
      </c>
      <c r="B207" s="28">
        <f>DCA_Forecast_Model!G208</f>
        <v>1710.818748</v>
      </c>
      <c r="C207" s="28">
        <f>DCA_Forecast_Model!H208</f>
        <v>22.02109342</v>
      </c>
      <c r="D207" s="29">
        <f>B207*'Economic Inputs Parameters'!$B$2</f>
        <v>5132.456243</v>
      </c>
      <c r="E207" s="29">
        <f>C207*'Economic Inputs Parameters'!$B$3</f>
        <v>1541.476539</v>
      </c>
      <c r="F207" s="29">
        <f t="shared" si="1"/>
        <v>6673.932783</v>
      </c>
      <c r="G207" s="28">
        <f>'Economic Inputs Parameters'!$B$4</f>
        <v>3000</v>
      </c>
      <c r="H207" s="28">
        <f t="shared" si="2"/>
        <v>3673.932783</v>
      </c>
      <c r="I207" s="29">
        <v>0.0</v>
      </c>
      <c r="J207" s="28">
        <f t="shared" si="3"/>
        <v>3673.932783</v>
      </c>
      <c r="K207" s="28">
        <f>1/(1+'Economic Inputs Parameters'!$B$5)^(A207)</f>
        <v>0.1867571598</v>
      </c>
      <c r="L207" s="28">
        <f t="shared" si="4"/>
        <v>686.1332519</v>
      </c>
      <c r="M207" s="60">
        <f t="shared" si="6"/>
        <v>-5333645.947</v>
      </c>
    </row>
    <row r="208" ht="12.75" customHeight="1">
      <c r="A208" s="49">
        <f t="shared" si="5"/>
        <v>204</v>
      </c>
      <c r="B208" s="28">
        <f>DCA_Forecast_Model!G209</f>
        <v>1680.299508</v>
      </c>
      <c r="C208" s="28">
        <f>DCA_Forecast_Model!H209</f>
        <v>21.62825985</v>
      </c>
      <c r="D208" s="29">
        <f>B208*'Economic Inputs Parameters'!$B$2</f>
        <v>5040.898523</v>
      </c>
      <c r="E208" s="29">
        <f>C208*'Economic Inputs Parameters'!$B$3</f>
        <v>1513.978189</v>
      </c>
      <c r="F208" s="29">
        <f t="shared" si="1"/>
        <v>6554.876712</v>
      </c>
      <c r="G208" s="28">
        <f>'Economic Inputs Parameters'!$B$4</f>
        <v>3000</v>
      </c>
      <c r="H208" s="28">
        <f t="shared" si="2"/>
        <v>3554.876712</v>
      </c>
      <c r="I208" s="29">
        <v>0.0</v>
      </c>
      <c r="J208" s="28">
        <f t="shared" si="3"/>
        <v>3554.876712</v>
      </c>
      <c r="K208" s="28">
        <f>1/(1+'Economic Inputs Parameters'!$B$5)^(A208)</f>
        <v>0.1852198352</v>
      </c>
      <c r="L208" s="28">
        <f t="shared" si="4"/>
        <v>658.4336787</v>
      </c>
      <c r="M208" s="60">
        <f t="shared" si="6"/>
        <v>-5332987.513</v>
      </c>
    </row>
    <row r="209" ht="12.75" customHeight="1">
      <c r="A209" s="49">
        <f t="shared" si="5"/>
        <v>205</v>
      </c>
      <c r="B209" s="28">
        <f>DCA_Forecast_Model!G210</f>
        <v>1650.324699</v>
      </c>
      <c r="C209" s="28">
        <f>DCA_Forecast_Model!H210</f>
        <v>21.24243402</v>
      </c>
      <c r="D209" s="29">
        <f>B209*'Economic Inputs Parameters'!$B$2</f>
        <v>4950.974097</v>
      </c>
      <c r="E209" s="29">
        <f>C209*'Economic Inputs Parameters'!$B$3</f>
        <v>1486.970381</v>
      </c>
      <c r="F209" s="29">
        <f t="shared" si="1"/>
        <v>6437.944478</v>
      </c>
      <c r="G209" s="28">
        <f>'Economic Inputs Parameters'!$B$4</f>
        <v>3000</v>
      </c>
      <c r="H209" s="28">
        <f t="shared" si="2"/>
        <v>3437.944478</v>
      </c>
      <c r="I209" s="29">
        <v>0.0</v>
      </c>
      <c r="J209" s="28">
        <f t="shared" si="3"/>
        <v>3437.944478</v>
      </c>
      <c r="K209" s="28">
        <f>1/(1+'Economic Inputs Parameters'!$B$5)^(A209)</f>
        <v>0.1836951653</v>
      </c>
      <c r="L209" s="28">
        <f t="shared" si="4"/>
        <v>631.5337793</v>
      </c>
      <c r="M209" s="60">
        <f t="shared" si="6"/>
        <v>-5332355.979</v>
      </c>
    </row>
    <row r="210" ht="12.75" customHeight="1">
      <c r="A210" s="49">
        <f t="shared" si="5"/>
        <v>206</v>
      </c>
      <c r="B210" s="28">
        <f>DCA_Forecast_Model!G211</f>
        <v>1620.88461</v>
      </c>
      <c r="C210" s="28">
        <f>DCA_Forecast_Model!H211</f>
        <v>20.86349093</v>
      </c>
      <c r="D210" s="29">
        <f>B210*'Economic Inputs Parameters'!$B$2</f>
        <v>4862.65383</v>
      </c>
      <c r="E210" s="29">
        <f>C210*'Economic Inputs Parameters'!$B$3</f>
        <v>1460.444365</v>
      </c>
      <c r="F210" s="29">
        <f t="shared" si="1"/>
        <v>6323.098195</v>
      </c>
      <c r="G210" s="28">
        <f>'Economic Inputs Parameters'!$B$4</f>
        <v>3000</v>
      </c>
      <c r="H210" s="28">
        <f t="shared" si="2"/>
        <v>3323.098195</v>
      </c>
      <c r="I210" s="29">
        <v>0.0</v>
      </c>
      <c r="J210" s="28">
        <f t="shared" si="3"/>
        <v>3323.098195</v>
      </c>
      <c r="K210" s="28">
        <f>1/(1+'Economic Inputs Parameters'!$B$5)^(A210)</f>
        <v>0.182183046</v>
      </c>
      <c r="L210" s="28">
        <f t="shared" si="4"/>
        <v>605.4121514</v>
      </c>
      <c r="M210" s="60">
        <f t="shared" si="6"/>
        <v>-5331750.567</v>
      </c>
    </row>
    <row r="211" ht="12.75" customHeight="1">
      <c r="A211" s="49">
        <f t="shared" si="5"/>
        <v>207</v>
      </c>
      <c r="B211" s="28">
        <f>DCA_Forecast_Model!G212</f>
        <v>1591.969702</v>
      </c>
      <c r="C211" s="28">
        <f>DCA_Forecast_Model!H212</f>
        <v>20.49130779</v>
      </c>
      <c r="D211" s="29">
        <f>B211*'Economic Inputs Parameters'!$B$2</f>
        <v>4775.909106</v>
      </c>
      <c r="E211" s="29">
        <f>C211*'Economic Inputs Parameters'!$B$3</f>
        <v>1434.391545</v>
      </c>
      <c r="F211" s="29">
        <f t="shared" si="1"/>
        <v>6210.300651</v>
      </c>
      <c r="G211" s="28">
        <f>'Economic Inputs Parameters'!$B$4</f>
        <v>3000</v>
      </c>
      <c r="H211" s="28">
        <f t="shared" si="2"/>
        <v>3210.300651</v>
      </c>
      <c r="I211" s="29">
        <v>0.0</v>
      </c>
      <c r="J211" s="28">
        <f t="shared" si="3"/>
        <v>3210.300651</v>
      </c>
      <c r="K211" s="28">
        <f>1/(1+'Economic Inputs Parameters'!$B$5)^(A211)</f>
        <v>0.180683374</v>
      </c>
      <c r="L211" s="28">
        <f t="shared" si="4"/>
        <v>580.0479533</v>
      </c>
      <c r="M211" s="60">
        <f t="shared" si="6"/>
        <v>-5331170.519</v>
      </c>
    </row>
    <row r="212" ht="12.75" customHeight="1">
      <c r="A212" s="49">
        <f t="shared" si="5"/>
        <v>208</v>
      </c>
      <c r="B212" s="28">
        <f>DCA_Forecast_Model!G213</f>
        <v>1563.570606</v>
      </c>
      <c r="C212" s="28">
        <f>DCA_Forecast_Model!H213</f>
        <v>20.12576401</v>
      </c>
      <c r="D212" s="29">
        <f>B212*'Economic Inputs Parameters'!$B$2</f>
        <v>4690.711818</v>
      </c>
      <c r="E212" s="29">
        <f>C212*'Economic Inputs Parameters'!$B$3</f>
        <v>1408.803481</v>
      </c>
      <c r="F212" s="29">
        <f t="shared" si="1"/>
        <v>6099.515299</v>
      </c>
      <c r="G212" s="28">
        <f>'Economic Inputs Parameters'!$B$4</f>
        <v>3000</v>
      </c>
      <c r="H212" s="28">
        <f t="shared" si="2"/>
        <v>3099.515299</v>
      </c>
      <c r="I212" s="29">
        <v>0.0</v>
      </c>
      <c r="J212" s="28">
        <f t="shared" si="3"/>
        <v>3099.515299</v>
      </c>
      <c r="K212" s="28">
        <f>1/(1+'Economic Inputs Parameters'!$B$5)^(A212)</f>
        <v>0.1791960468</v>
      </c>
      <c r="L212" s="28">
        <f t="shared" si="4"/>
        <v>555.4208886</v>
      </c>
      <c r="M212" s="60">
        <f t="shared" si="6"/>
        <v>-5330615.098</v>
      </c>
    </row>
    <row r="213" ht="12.75" customHeight="1">
      <c r="A213" s="49">
        <f t="shared" si="5"/>
        <v>209</v>
      </c>
      <c r="B213" s="28">
        <f>DCA_Forecast_Model!G214</f>
        <v>1535.678121</v>
      </c>
      <c r="C213" s="28">
        <f>DCA_Forecast_Model!H214</f>
        <v>19.76674116</v>
      </c>
      <c r="D213" s="29">
        <f>B213*'Economic Inputs Parameters'!$B$2</f>
        <v>4607.034362</v>
      </c>
      <c r="E213" s="29">
        <f>C213*'Economic Inputs Parameters'!$B$3</f>
        <v>1383.671881</v>
      </c>
      <c r="F213" s="29">
        <f t="shared" si="1"/>
        <v>5990.706243</v>
      </c>
      <c r="G213" s="28">
        <f>'Economic Inputs Parameters'!$B$4</f>
        <v>3000</v>
      </c>
      <c r="H213" s="28">
        <f t="shared" si="2"/>
        <v>2990.706243</v>
      </c>
      <c r="I213" s="29">
        <v>0.0</v>
      </c>
      <c r="J213" s="28">
        <f t="shared" si="3"/>
        <v>2990.706243</v>
      </c>
      <c r="K213" s="28">
        <f>1/(1+'Economic Inputs Parameters'!$B$5)^(A213)</f>
        <v>0.1777209628</v>
      </c>
      <c r="L213" s="28">
        <f t="shared" si="4"/>
        <v>531.511193</v>
      </c>
      <c r="M213" s="60">
        <f t="shared" si="6"/>
        <v>-5330083.587</v>
      </c>
    </row>
    <row r="214" ht="12.75" customHeight="1">
      <c r="A214" s="49">
        <f t="shared" si="5"/>
        <v>210</v>
      </c>
      <c r="B214" s="28">
        <f>DCA_Forecast_Model!G215</f>
        <v>1508.283208</v>
      </c>
      <c r="C214" s="28">
        <f>DCA_Forecast_Model!H215</f>
        <v>19.4141229</v>
      </c>
      <c r="D214" s="29">
        <f>B214*'Economic Inputs Parameters'!$B$2</f>
        <v>4524.849625</v>
      </c>
      <c r="E214" s="29">
        <f>C214*'Economic Inputs Parameters'!$B$3</f>
        <v>1358.988603</v>
      </c>
      <c r="F214" s="29">
        <f t="shared" si="1"/>
        <v>5883.838228</v>
      </c>
      <c r="G214" s="28">
        <f>'Economic Inputs Parameters'!$B$4</f>
        <v>3000</v>
      </c>
      <c r="H214" s="28">
        <f t="shared" si="2"/>
        <v>2883.838228</v>
      </c>
      <c r="I214" s="29">
        <v>0.0</v>
      </c>
      <c r="J214" s="28">
        <f t="shared" si="3"/>
        <v>2883.838228</v>
      </c>
      <c r="K214" s="28">
        <f>1/(1+'Economic Inputs Parameters'!$B$5)^(A214)</f>
        <v>0.1762580213</v>
      </c>
      <c r="L214" s="28">
        <f t="shared" si="4"/>
        <v>508.2996197</v>
      </c>
      <c r="M214" s="60">
        <f t="shared" si="6"/>
        <v>-5329575.287</v>
      </c>
    </row>
    <row r="215" ht="12.75" customHeight="1">
      <c r="A215" s="49">
        <f t="shared" si="5"/>
        <v>211</v>
      </c>
      <c r="B215" s="28">
        <f>DCA_Forecast_Model!G216</f>
        <v>1481.376993</v>
      </c>
      <c r="C215" s="28">
        <f>DCA_Forecast_Model!H216</f>
        <v>19.06779499</v>
      </c>
      <c r="D215" s="29">
        <f>B215*'Economic Inputs Parameters'!$B$2</f>
        <v>4444.130979</v>
      </c>
      <c r="E215" s="29">
        <f>C215*'Economic Inputs Parameters'!$B$3</f>
        <v>1334.745649</v>
      </c>
      <c r="F215" s="29">
        <f t="shared" si="1"/>
        <v>5778.876628</v>
      </c>
      <c r="G215" s="28">
        <f>'Economic Inputs Parameters'!$B$4</f>
        <v>3000</v>
      </c>
      <c r="H215" s="28">
        <f t="shared" si="2"/>
        <v>2778.876628</v>
      </c>
      <c r="I215" s="29">
        <v>0.0</v>
      </c>
      <c r="J215" s="28">
        <f t="shared" si="3"/>
        <v>2778.876628</v>
      </c>
      <c r="K215" s="28">
        <f>1/(1+'Economic Inputs Parameters'!$B$5)^(A215)</f>
        <v>0.1748071222</v>
      </c>
      <c r="L215" s="28">
        <f t="shared" si="4"/>
        <v>485.7674262</v>
      </c>
      <c r="M215" s="60">
        <f t="shared" si="6"/>
        <v>-5329089.52</v>
      </c>
    </row>
    <row r="216" ht="12.75" customHeight="1">
      <c r="A216" s="49">
        <f t="shared" si="5"/>
        <v>212</v>
      </c>
      <c r="B216" s="28">
        <f>DCA_Forecast_Model!G217</f>
        <v>1454.950757</v>
      </c>
      <c r="C216" s="28">
        <f>DCA_Forecast_Model!H217</f>
        <v>18.72764521</v>
      </c>
      <c r="D216" s="29">
        <f>B216*'Economic Inputs Parameters'!$B$2</f>
        <v>4364.85227</v>
      </c>
      <c r="E216" s="29">
        <f>C216*'Economic Inputs Parameters'!$B$3</f>
        <v>1310.935165</v>
      </c>
      <c r="F216" s="29">
        <f t="shared" si="1"/>
        <v>5675.787435</v>
      </c>
      <c r="G216" s="28">
        <f>'Economic Inputs Parameters'!$B$4</f>
        <v>3000</v>
      </c>
      <c r="H216" s="28">
        <f t="shared" si="2"/>
        <v>2675.787435</v>
      </c>
      <c r="I216" s="29">
        <v>0.0</v>
      </c>
      <c r="J216" s="28">
        <f t="shared" si="3"/>
        <v>2675.787435</v>
      </c>
      <c r="K216" s="28">
        <f>1/(1+'Economic Inputs Parameters'!$B$5)^(A216)</f>
        <v>0.1733681664</v>
      </c>
      <c r="L216" s="28">
        <f t="shared" si="4"/>
        <v>463.8963612</v>
      </c>
      <c r="M216" s="60">
        <f t="shared" si="6"/>
        <v>-5328625.624</v>
      </c>
    </row>
    <row r="217" ht="12.75" customHeight="1">
      <c r="A217" s="49">
        <f t="shared" si="5"/>
        <v>213</v>
      </c>
      <c r="B217" s="28">
        <f>DCA_Forecast_Model!G218</f>
        <v>1428.995937</v>
      </c>
      <c r="C217" s="28">
        <f>DCA_Forecast_Model!H218</f>
        <v>18.39356336</v>
      </c>
      <c r="D217" s="29">
        <f>B217*'Economic Inputs Parameters'!$B$2</f>
        <v>4286.987811</v>
      </c>
      <c r="E217" s="29">
        <f>C217*'Economic Inputs Parameters'!$B$3</f>
        <v>1287.549435</v>
      </c>
      <c r="F217" s="29">
        <f t="shared" si="1"/>
        <v>5574.537246</v>
      </c>
      <c r="G217" s="28">
        <f>'Economic Inputs Parameters'!$B$4</f>
        <v>3000</v>
      </c>
      <c r="H217" s="28">
        <f t="shared" si="2"/>
        <v>2574.537246</v>
      </c>
      <c r="I217" s="29">
        <v>0.0</v>
      </c>
      <c r="J217" s="28">
        <f t="shared" si="3"/>
        <v>2574.537246</v>
      </c>
      <c r="K217" s="28">
        <f>1/(1+'Economic Inputs Parameters'!$B$5)^(A217)</f>
        <v>0.1719410556</v>
      </c>
      <c r="L217" s="28">
        <f t="shared" si="4"/>
        <v>442.6686519</v>
      </c>
      <c r="M217" s="60">
        <f t="shared" si="6"/>
        <v>-5328182.955</v>
      </c>
    </row>
    <row r="218" ht="12.75" customHeight="1">
      <c r="A218" s="49">
        <f t="shared" si="5"/>
        <v>214</v>
      </c>
      <c r="B218" s="28">
        <f>DCA_Forecast_Model!G219</f>
        <v>1403.504125</v>
      </c>
      <c r="C218" s="28">
        <f>DCA_Forecast_Model!H219</f>
        <v>18.06544117</v>
      </c>
      <c r="D218" s="29">
        <f>B218*'Economic Inputs Parameters'!$B$2</f>
        <v>4210.512375</v>
      </c>
      <c r="E218" s="29">
        <f>C218*'Economic Inputs Parameters'!$B$3</f>
        <v>1264.580882</v>
      </c>
      <c r="F218" s="29">
        <f t="shared" si="1"/>
        <v>5475.093257</v>
      </c>
      <c r="G218" s="28">
        <f>'Economic Inputs Parameters'!$B$4</f>
        <v>3000</v>
      </c>
      <c r="H218" s="28">
        <f t="shared" si="2"/>
        <v>2475.093257</v>
      </c>
      <c r="I218" s="29">
        <v>0.0</v>
      </c>
      <c r="J218" s="28">
        <f t="shared" si="3"/>
        <v>2475.093257</v>
      </c>
      <c r="K218" s="28">
        <f>1/(1+'Economic Inputs Parameters'!$B$5)^(A218)</f>
        <v>0.1705256924</v>
      </c>
      <c r="L218" s="28">
        <f t="shared" si="4"/>
        <v>422.0669913</v>
      </c>
      <c r="M218" s="60">
        <f t="shared" si="6"/>
        <v>-5327760.888</v>
      </c>
    </row>
    <row r="219" ht="12.75" customHeight="1">
      <c r="A219" s="49">
        <f t="shared" si="5"/>
        <v>215</v>
      </c>
      <c r="B219" s="28">
        <f>DCA_Forecast_Model!G220</f>
        <v>1378.46706</v>
      </c>
      <c r="C219" s="28">
        <f>DCA_Forecast_Model!H220</f>
        <v>17.74317235</v>
      </c>
      <c r="D219" s="29">
        <f>B219*'Economic Inputs Parameters'!$B$2</f>
        <v>4135.401181</v>
      </c>
      <c r="E219" s="29">
        <f>C219*'Economic Inputs Parameters'!$B$3</f>
        <v>1242.022065</v>
      </c>
      <c r="F219" s="29">
        <f t="shared" si="1"/>
        <v>5377.423245</v>
      </c>
      <c r="G219" s="28">
        <f>'Economic Inputs Parameters'!$B$4</f>
        <v>3000</v>
      </c>
      <c r="H219" s="28">
        <f t="shared" si="2"/>
        <v>2377.423245</v>
      </c>
      <c r="I219" s="29">
        <v>0.0</v>
      </c>
      <c r="J219" s="28">
        <f t="shared" si="3"/>
        <v>2377.423245</v>
      </c>
      <c r="K219" s="28">
        <f>1/(1+'Economic Inputs Parameters'!$B$5)^(A219)</f>
        <v>0.1691219799</v>
      </c>
      <c r="L219" s="28">
        <f t="shared" si="4"/>
        <v>402.0745264</v>
      </c>
      <c r="M219" s="60">
        <f t="shared" si="6"/>
        <v>-5327358.813</v>
      </c>
    </row>
    <row r="220" ht="12.75" customHeight="1">
      <c r="A220" s="49">
        <f t="shared" si="5"/>
        <v>216</v>
      </c>
      <c r="B220" s="28">
        <f>DCA_Forecast_Model!G221</f>
        <v>1353.876631</v>
      </c>
      <c r="C220" s="28">
        <f>DCA_Forecast_Model!H221</f>
        <v>17.42665248</v>
      </c>
      <c r="D220" s="29">
        <f>B220*'Economic Inputs Parameters'!$B$2</f>
        <v>4061.629893</v>
      </c>
      <c r="E220" s="29">
        <f>C220*'Economic Inputs Parameters'!$B$3</f>
        <v>1219.865673</v>
      </c>
      <c r="F220" s="29">
        <f t="shared" si="1"/>
        <v>5281.495566</v>
      </c>
      <c r="G220" s="28">
        <f>'Economic Inputs Parameters'!$B$4</f>
        <v>3000</v>
      </c>
      <c r="H220" s="28">
        <f t="shared" si="2"/>
        <v>2281.495566</v>
      </c>
      <c r="I220" s="29">
        <v>0.0</v>
      </c>
      <c r="J220" s="28">
        <f t="shared" si="3"/>
        <v>2281.495566</v>
      </c>
      <c r="K220" s="28">
        <f>1/(1+'Economic Inputs Parameters'!$B$5)^(A220)</f>
        <v>0.1677298224</v>
      </c>
      <c r="L220" s="28">
        <f t="shared" si="4"/>
        <v>382.6748461</v>
      </c>
      <c r="M220" s="60">
        <f t="shared" si="6"/>
        <v>-5326976.139</v>
      </c>
    </row>
    <row r="221" ht="12.75" customHeight="1">
      <c r="A221" s="49">
        <f t="shared" si="5"/>
        <v>217</v>
      </c>
      <c r="B221" s="28">
        <f>DCA_Forecast_Model!G222</f>
        <v>1329.72487</v>
      </c>
      <c r="C221" s="28">
        <f>DCA_Forecast_Model!H222</f>
        <v>17.11577899</v>
      </c>
      <c r="D221" s="29">
        <f>B221*'Economic Inputs Parameters'!$B$2</f>
        <v>3989.174609</v>
      </c>
      <c r="E221" s="29">
        <f>C221*'Economic Inputs Parameters'!$B$3</f>
        <v>1198.104529</v>
      </c>
      <c r="F221" s="29">
        <f t="shared" si="1"/>
        <v>5187.279138</v>
      </c>
      <c r="G221" s="28">
        <f>'Economic Inputs Parameters'!$B$4</f>
        <v>3000</v>
      </c>
      <c r="H221" s="28">
        <f t="shared" si="2"/>
        <v>2187.279138</v>
      </c>
      <c r="I221" s="29">
        <v>0.0</v>
      </c>
      <c r="J221" s="28">
        <f t="shared" si="3"/>
        <v>2187.279138</v>
      </c>
      <c r="K221" s="28">
        <f>1/(1+'Economic Inputs Parameters'!$B$5)^(A221)</f>
        <v>0.1663491247</v>
      </c>
      <c r="L221" s="28">
        <f t="shared" si="4"/>
        <v>363.85197</v>
      </c>
      <c r="M221" s="60">
        <f t="shared" si="6"/>
        <v>-5326612.287</v>
      </c>
    </row>
    <row r="222" ht="12.75" customHeight="1">
      <c r="A222" s="49">
        <f t="shared" si="5"/>
        <v>218</v>
      </c>
      <c r="B222" s="28">
        <f>DCA_Forecast_Model!G223</f>
        <v>1306.003951</v>
      </c>
      <c r="C222" s="28">
        <f>DCA_Forecast_Model!H223</f>
        <v>16.81045116</v>
      </c>
      <c r="D222" s="29">
        <f>B222*'Economic Inputs Parameters'!$B$2</f>
        <v>3918.011852</v>
      </c>
      <c r="E222" s="29">
        <f>C222*'Economic Inputs Parameters'!$B$3</f>
        <v>1176.731581</v>
      </c>
      <c r="F222" s="29">
        <f t="shared" si="1"/>
        <v>5094.743433</v>
      </c>
      <c r="G222" s="28">
        <f>'Economic Inputs Parameters'!$B$4</f>
        <v>3000</v>
      </c>
      <c r="H222" s="28">
        <f t="shared" si="2"/>
        <v>2094.743433</v>
      </c>
      <c r="I222" s="29">
        <v>0.0</v>
      </c>
      <c r="J222" s="28">
        <f t="shared" si="3"/>
        <v>2094.743433</v>
      </c>
      <c r="K222" s="28">
        <f>1/(1+'Economic Inputs Parameters'!$B$5)^(A222)</f>
        <v>0.1649797924</v>
      </c>
      <c r="L222" s="28">
        <f t="shared" si="4"/>
        <v>345.5903367</v>
      </c>
      <c r="M222" s="60">
        <f t="shared" si="6"/>
        <v>-5326266.696</v>
      </c>
    </row>
    <row r="223" ht="12.75" customHeight="1">
      <c r="A223" s="49">
        <f t="shared" si="5"/>
        <v>219</v>
      </c>
      <c r="B223" s="28">
        <f>DCA_Forecast_Model!G224</f>
        <v>1282.706188</v>
      </c>
      <c r="C223" s="28">
        <f>DCA_Forecast_Model!H224</f>
        <v>16.51057007</v>
      </c>
      <c r="D223" s="29">
        <f>B223*'Economic Inputs Parameters'!$B$2</f>
        <v>3848.118565</v>
      </c>
      <c r="E223" s="29">
        <f>C223*'Economic Inputs Parameters'!$B$3</f>
        <v>1155.739905</v>
      </c>
      <c r="F223" s="29">
        <f t="shared" si="1"/>
        <v>5003.85847</v>
      </c>
      <c r="G223" s="28">
        <f>'Economic Inputs Parameters'!$B$4</f>
        <v>3000</v>
      </c>
      <c r="H223" s="28">
        <f t="shared" si="2"/>
        <v>2003.85847</v>
      </c>
      <c r="I223" s="29">
        <v>0.0</v>
      </c>
      <c r="J223" s="28">
        <f t="shared" si="3"/>
        <v>2003.85847</v>
      </c>
      <c r="K223" s="28">
        <f>1/(1+'Economic Inputs Parameters'!$B$5)^(A223)</f>
        <v>0.163621732</v>
      </c>
      <c r="L223" s="28">
        <f t="shared" si="4"/>
        <v>327.8747935</v>
      </c>
      <c r="M223" s="60">
        <f t="shared" si="6"/>
        <v>-5325938.821</v>
      </c>
    </row>
    <row r="224" ht="12.75" customHeight="1">
      <c r="A224" s="49">
        <f t="shared" si="5"/>
        <v>220</v>
      </c>
      <c r="B224" s="28">
        <f>DCA_Forecast_Model!G225</f>
        <v>1259.824034</v>
      </c>
      <c r="C224" s="28">
        <f>DCA_Forecast_Model!H225</f>
        <v>16.21603854</v>
      </c>
      <c r="D224" s="29">
        <f>B224*'Economic Inputs Parameters'!$B$2</f>
        <v>3779.472103</v>
      </c>
      <c r="E224" s="29">
        <f>C224*'Economic Inputs Parameters'!$B$3</f>
        <v>1135.122698</v>
      </c>
      <c r="F224" s="29">
        <f t="shared" si="1"/>
        <v>4914.5948</v>
      </c>
      <c r="G224" s="28">
        <f>'Economic Inputs Parameters'!$B$4</f>
        <v>3000</v>
      </c>
      <c r="H224" s="28">
        <f t="shared" si="2"/>
        <v>1914.5948</v>
      </c>
      <c r="I224" s="29">
        <v>0.0</v>
      </c>
      <c r="J224" s="28">
        <f t="shared" si="3"/>
        <v>1914.5948</v>
      </c>
      <c r="K224" s="28">
        <f>1/(1+'Economic Inputs Parameters'!$B$5)^(A224)</f>
        <v>0.1622748508</v>
      </c>
      <c r="L224" s="28">
        <f t="shared" si="4"/>
        <v>310.6905855</v>
      </c>
      <c r="M224" s="60">
        <f t="shared" si="6"/>
        <v>-5325628.131</v>
      </c>
    </row>
    <row r="225" ht="12.75" customHeight="1">
      <c r="A225" s="49">
        <f t="shared" si="5"/>
        <v>221</v>
      </c>
      <c r="B225" s="28">
        <f>DCA_Forecast_Model!G226</f>
        <v>1237.350074</v>
      </c>
      <c r="C225" s="28">
        <f>DCA_Forecast_Model!H226</f>
        <v>15.92676115</v>
      </c>
      <c r="D225" s="29">
        <f>B225*'Economic Inputs Parameters'!$B$2</f>
        <v>3712.050222</v>
      </c>
      <c r="E225" s="29">
        <f>C225*'Economic Inputs Parameters'!$B$3</f>
        <v>1114.873281</v>
      </c>
      <c r="F225" s="29">
        <f t="shared" si="1"/>
        <v>4826.923503</v>
      </c>
      <c r="G225" s="28">
        <f>'Economic Inputs Parameters'!$B$4</f>
        <v>3000</v>
      </c>
      <c r="H225" s="28">
        <f t="shared" si="2"/>
        <v>1826.923503</v>
      </c>
      <c r="I225" s="29">
        <v>0.0</v>
      </c>
      <c r="J225" s="28">
        <f t="shared" si="3"/>
        <v>1826.923503</v>
      </c>
      <c r="K225" s="28">
        <f>1/(1+'Economic Inputs Parameters'!$B$5)^(A225)</f>
        <v>0.1609390566</v>
      </c>
      <c r="L225" s="28">
        <f t="shared" si="4"/>
        <v>294.023345</v>
      </c>
      <c r="M225" s="60">
        <f t="shared" si="6"/>
        <v>-5325334.108</v>
      </c>
    </row>
    <row r="226" ht="12.75" customHeight="1">
      <c r="A226" s="49">
        <f t="shared" si="5"/>
        <v>222</v>
      </c>
      <c r="B226" s="28">
        <f>DCA_Forecast_Model!G227</f>
        <v>1215.277026</v>
      </c>
      <c r="C226" s="28">
        <f>DCA_Forecast_Model!H227</f>
        <v>15.64264418</v>
      </c>
      <c r="D226" s="29">
        <f>B226*'Economic Inputs Parameters'!$B$2</f>
        <v>3645.831078</v>
      </c>
      <c r="E226" s="29">
        <f>C226*'Economic Inputs Parameters'!$B$3</f>
        <v>1094.985092</v>
      </c>
      <c r="F226" s="29">
        <f t="shared" si="1"/>
        <v>4740.816171</v>
      </c>
      <c r="G226" s="28">
        <f>'Economic Inputs Parameters'!$B$4</f>
        <v>3000</v>
      </c>
      <c r="H226" s="28">
        <f t="shared" si="2"/>
        <v>1740.816171</v>
      </c>
      <c r="I226" s="29">
        <v>0.0</v>
      </c>
      <c r="J226" s="28">
        <f t="shared" si="3"/>
        <v>1740.816171</v>
      </c>
      <c r="K226" s="28">
        <f>1/(1+'Economic Inputs Parameters'!$B$5)^(A226)</f>
        <v>0.1596142582</v>
      </c>
      <c r="L226" s="28">
        <f t="shared" si="4"/>
        <v>277.8590818</v>
      </c>
      <c r="M226" s="60">
        <f t="shared" si="6"/>
        <v>-5325056.248</v>
      </c>
    </row>
    <row r="227" ht="12.75" customHeight="1">
      <c r="A227" s="49">
        <f t="shared" si="5"/>
        <v>223</v>
      </c>
      <c r="B227" s="28">
        <f>DCA_Forecast_Model!G228</f>
        <v>1193.597739</v>
      </c>
      <c r="C227" s="28">
        <f>DCA_Forecast_Model!H228</f>
        <v>15.36359555</v>
      </c>
      <c r="D227" s="29">
        <f>B227*'Economic Inputs Parameters'!$B$2</f>
        <v>3580.793216</v>
      </c>
      <c r="E227" s="29">
        <f>C227*'Economic Inputs Parameters'!$B$3</f>
        <v>1075.451689</v>
      </c>
      <c r="F227" s="29">
        <f t="shared" si="1"/>
        <v>4656.244904</v>
      </c>
      <c r="G227" s="28">
        <f>'Economic Inputs Parameters'!$B$4</f>
        <v>3000</v>
      </c>
      <c r="H227" s="28">
        <f t="shared" si="2"/>
        <v>1656.244904</v>
      </c>
      <c r="I227" s="29">
        <v>0.0</v>
      </c>
      <c r="J227" s="28">
        <f t="shared" si="3"/>
        <v>1656.244904</v>
      </c>
      <c r="K227" s="28">
        <f>1/(1+'Economic Inputs Parameters'!$B$5)^(A227)</f>
        <v>0.1583003652</v>
      </c>
      <c r="L227" s="28">
        <f t="shared" si="4"/>
        <v>262.1841732</v>
      </c>
      <c r="M227" s="60">
        <f t="shared" si="6"/>
        <v>-5324794.064</v>
      </c>
    </row>
    <row r="228" ht="12.75" customHeight="1">
      <c r="A228" s="49">
        <f t="shared" si="5"/>
        <v>224</v>
      </c>
      <c r="B228" s="28">
        <f>DCA_Forecast_Model!G229</f>
        <v>1172.305187</v>
      </c>
      <c r="C228" s="28">
        <f>DCA_Forecast_Model!H229</f>
        <v>15.08952487</v>
      </c>
      <c r="D228" s="29">
        <f>B228*'Economic Inputs Parameters'!$B$2</f>
        <v>3516.915561</v>
      </c>
      <c r="E228" s="29">
        <f>C228*'Economic Inputs Parameters'!$B$3</f>
        <v>1056.266741</v>
      </c>
      <c r="F228" s="29">
        <f t="shared" si="1"/>
        <v>4573.182302</v>
      </c>
      <c r="G228" s="28">
        <f>'Economic Inputs Parameters'!$B$4</f>
        <v>3000</v>
      </c>
      <c r="H228" s="28">
        <f t="shared" si="2"/>
        <v>1573.182302</v>
      </c>
      <c r="I228" s="29">
        <v>0.0</v>
      </c>
      <c r="J228" s="28">
        <f t="shared" si="3"/>
        <v>1573.182302</v>
      </c>
      <c r="K228" s="28">
        <f>1/(1+'Economic Inputs Parameters'!$B$5)^(A228)</f>
        <v>0.1569972877</v>
      </c>
      <c r="L228" s="28">
        <f t="shared" si="4"/>
        <v>246.9853545</v>
      </c>
      <c r="M228" s="60">
        <f t="shared" si="6"/>
        <v>-5324547.079</v>
      </c>
    </row>
    <row r="229" ht="12.75" customHeight="1">
      <c r="A229" s="49">
        <f t="shared" si="5"/>
        <v>225</v>
      </c>
      <c r="B229" s="28">
        <f>DCA_Forecast_Model!G230</f>
        <v>1151.392473</v>
      </c>
      <c r="C229" s="28">
        <f>DCA_Forecast_Model!H230</f>
        <v>14.82034332</v>
      </c>
      <c r="D229" s="29">
        <f>B229*'Economic Inputs Parameters'!$B$2</f>
        <v>3454.177418</v>
      </c>
      <c r="E229" s="29">
        <f>C229*'Economic Inputs Parameters'!$B$3</f>
        <v>1037.424033</v>
      </c>
      <c r="F229" s="29">
        <f t="shared" si="1"/>
        <v>4491.601451</v>
      </c>
      <c r="G229" s="28">
        <f>'Economic Inputs Parameters'!$B$4</f>
        <v>3000</v>
      </c>
      <c r="H229" s="28">
        <f t="shared" si="2"/>
        <v>1491.601451</v>
      </c>
      <c r="I229" s="29">
        <v>0.0</v>
      </c>
      <c r="J229" s="28">
        <f t="shared" si="3"/>
        <v>1491.601451</v>
      </c>
      <c r="K229" s="28">
        <f>1/(1+'Economic Inputs Parameters'!$B$5)^(A229)</f>
        <v>0.1557049368</v>
      </c>
      <c r="L229" s="28">
        <f t="shared" si="4"/>
        <v>232.2497096</v>
      </c>
      <c r="M229" s="60">
        <f t="shared" si="6"/>
        <v>-5324314.829</v>
      </c>
    </row>
    <row r="230" ht="12.75" customHeight="1">
      <c r="A230" s="49">
        <f t="shared" si="5"/>
        <v>226</v>
      </c>
      <c r="B230" s="28">
        <f>DCA_Forecast_Model!G231</f>
        <v>1130.85282</v>
      </c>
      <c r="C230" s="28">
        <f>DCA_Forecast_Model!H231</f>
        <v>14.5559637</v>
      </c>
      <c r="D230" s="29">
        <f>B230*'Economic Inputs Parameters'!$B$2</f>
        <v>3392.558459</v>
      </c>
      <c r="E230" s="29">
        <f>C230*'Economic Inputs Parameters'!$B$3</f>
        <v>1018.917459</v>
      </c>
      <c r="F230" s="29">
        <f t="shared" si="1"/>
        <v>4411.475918</v>
      </c>
      <c r="G230" s="28">
        <f>'Economic Inputs Parameters'!$B$4</f>
        <v>3000</v>
      </c>
      <c r="H230" s="28">
        <f t="shared" si="2"/>
        <v>1411.475918</v>
      </c>
      <c r="I230" s="29">
        <v>0.0</v>
      </c>
      <c r="J230" s="28">
        <f t="shared" si="3"/>
        <v>1411.475918</v>
      </c>
      <c r="K230" s="28">
        <f>1/(1+'Economic Inputs Parameters'!$B$5)^(A230)</f>
        <v>0.154423224</v>
      </c>
      <c r="L230" s="28">
        <f t="shared" si="4"/>
        <v>217.9646619</v>
      </c>
      <c r="M230" s="60">
        <f t="shared" si="6"/>
        <v>-5324096.865</v>
      </c>
    </row>
    <row r="231" ht="12.75" customHeight="1">
      <c r="A231" s="49">
        <f t="shared" si="5"/>
        <v>227</v>
      </c>
      <c r="B231" s="28">
        <f>DCA_Forecast_Model!G232</f>
        <v>1110.679573</v>
      </c>
      <c r="C231" s="28">
        <f>DCA_Forecast_Model!H232</f>
        <v>14.29630033</v>
      </c>
      <c r="D231" s="29">
        <f>B231*'Economic Inputs Parameters'!$B$2</f>
        <v>3332.038719</v>
      </c>
      <c r="E231" s="29">
        <f>C231*'Economic Inputs Parameters'!$B$3</f>
        <v>1000.741023</v>
      </c>
      <c r="F231" s="29">
        <f t="shared" si="1"/>
        <v>4332.779742</v>
      </c>
      <c r="G231" s="28">
        <f>'Economic Inputs Parameters'!$B$4</f>
        <v>3000</v>
      </c>
      <c r="H231" s="28">
        <f t="shared" si="2"/>
        <v>1332.779742</v>
      </c>
      <c r="I231" s="29">
        <v>0.0</v>
      </c>
      <c r="J231" s="28">
        <f t="shared" si="3"/>
        <v>1332.779742</v>
      </c>
      <c r="K231" s="28">
        <f>1/(1+'Economic Inputs Parameters'!$B$5)^(A231)</f>
        <v>0.1531520619</v>
      </c>
      <c r="L231" s="28">
        <f t="shared" si="4"/>
        <v>204.1179655</v>
      </c>
      <c r="M231" s="60">
        <f t="shared" si="6"/>
        <v>-5323892.747</v>
      </c>
    </row>
    <row r="232" ht="12.75" customHeight="1">
      <c r="A232" s="49">
        <f t="shared" si="5"/>
        <v>228</v>
      </c>
      <c r="B232" s="28">
        <f>DCA_Forecast_Model!G233</f>
        <v>1090.866196</v>
      </c>
      <c r="C232" s="28">
        <f>DCA_Forecast_Model!H233</f>
        <v>14.04126909</v>
      </c>
      <c r="D232" s="29">
        <f>B232*'Economic Inputs Parameters'!$B$2</f>
        <v>3272.598588</v>
      </c>
      <c r="E232" s="29">
        <f>C232*'Economic Inputs Parameters'!$B$3</f>
        <v>982.8888366</v>
      </c>
      <c r="F232" s="29">
        <f t="shared" si="1"/>
        <v>4255.487424</v>
      </c>
      <c r="G232" s="28">
        <f>'Economic Inputs Parameters'!$B$4</f>
        <v>3000</v>
      </c>
      <c r="H232" s="28">
        <f t="shared" si="2"/>
        <v>1255.487424</v>
      </c>
      <c r="I232" s="29">
        <v>0.0</v>
      </c>
      <c r="J232" s="28">
        <f t="shared" si="3"/>
        <v>1255.487424</v>
      </c>
      <c r="K232" s="28">
        <f>1/(1+'Economic Inputs Parameters'!$B$5)^(A232)</f>
        <v>0.1518913636</v>
      </c>
      <c r="L232" s="28">
        <f t="shared" si="4"/>
        <v>190.6976968</v>
      </c>
      <c r="M232" s="60">
        <f t="shared" si="6"/>
        <v>-5323702.049</v>
      </c>
    </row>
    <row r="233" ht="12.75" customHeight="1">
      <c r="A233" s="49">
        <f t="shared" si="5"/>
        <v>229</v>
      </c>
      <c r="B233" s="28">
        <f>DCA_Forecast_Model!G234</f>
        <v>1071.406269</v>
      </c>
      <c r="C233" s="28">
        <f>DCA_Forecast_Model!H234</f>
        <v>13.79078735</v>
      </c>
      <c r="D233" s="29">
        <f>B233*'Economic Inputs Parameters'!$B$2</f>
        <v>3214.218807</v>
      </c>
      <c r="E233" s="29">
        <f>C233*'Economic Inputs Parameters'!$B$3</f>
        <v>965.3551144</v>
      </c>
      <c r="F233" s="29">
        <f t="shared" si="1"/>
        <v>4179.573922</v>
      </c>
      <c r="G233" s="28">
        <f>'Economic Inputs Parameters'!$B$4</f>
        <v>3000</v>
      </c>
      <c r="H233" s="28">
        <f t="shared" si="2"/>
        <v>1179.573922</v>
      </c>
      <c r="I233" s="29">
        <v>0.0</v>
      </c>
      <c r="J233" s="28">
        <f t="shared" si="3"/>
        <v>1179.573922</v>
      </c>
      <c r="K233" s="28">
        <f>1/(1+'Economic Inputs Parameters'!$B$5)^(A233)</f>
        <v>0.1506410429</v>
      </c>
      <c r="L233" s="28">
        <f t="shared" si="4"/>
        <v>177.6922458</v>
      </c>
      <c r="M233" s="60">
        <f t="shared" si="6"/>
        <v>-5323524.357</v>
      </c>
    </row>
    <row r="234" ht="12.75" customHeight="1">
      <c r="A234" s="49">
        <f t="shared" si="5"/>
        <v>230</v>
      </c>
      <c r="B234" s="28">
        <f>DCA_Forecast_Model!G235</f>
        <v>1052.293487</v>
      </c>
      <c r="C234" s="28">
        <f>DCA_Forecast_Model!H235</f>
        <v>13.54477394</v>
      </c>
      <c r="D234" s="29">
        <f>B234*'Economic Inputs Parameters'!$B$2</f>
        <v>3156.880462</v>
      </c>
      <c r="E234" s="29">
        <f>C234*'Economic Inputs Parameters'!$B$3</f>
        <v>948.1341758</v>
      </c>
      <c r="F234" s="29">
        <f t="shared" si="1"/>
        <v>4105.014638</v>
      </c>
      <c r="G234" s="28">
        <f>'Economic Inputs Parameters'!$B$4</f>
        <v>3000</v>
      </c>
      <c r="H234" s="28">
        <f t="shared" si="2"/>
        <v>1105.014638</v>
      </c>
      <c r="I234" s="29">
        <v>0.0</v>
      </c>
      <c r="J234" s="28">
        <f t="shared" si="3"/>
        <v>1105.014638</v>
      </c>
      <c r="K234" s="28">
        <f>1/(1+'Economic Inputs Parameters'!$B$5)^(A234)</f>
        <v>0.1494010145</v>
      </c>
      <c r="L234" s="28">
        <f t="shared" si="4"/>
        <v>165.0903079</v>
      </c>
      <c r="M234" s="60">
        <f t="shared" si="6"/>
        <v>-5323359.266</v>
      </c>
    </row>
    <row r="235" ht="12.75" customHeight="1">
      <c r="A235" s="49">
        <f t="shared" si="5"/>
        <v>231</v>
      </c>
      <c r="B235" s="28">
        <f>DCA_Forecast_Model!G236</f>
        <v>1033.521658</v>
      </c>
      <c r="C235" s="28">
        <f>DCA_Forecast_Model!H236</f>
        <v>13.30314916</v>
      </c>
      <c r="D235" s="29">
        <f>B235*'Economic Inputs Parameters'!$B$2</f>
        <v>3100.564974</v>
      </c>
      <c r="E235" s="29">
        <f>C235*'Economic Inputs Parameters'!$B$3</f>
        <v>931.2204409</v>
      </c>
      <c r="F235" s="29">
        <f t="shared" si="1"/>
        <v>4031.785415</v>
      </c>
      <c r="G235" s="28">
        <f>'Economic Inputs Parameters'!$B$4</f>
        <v>3000</v>
      </c>
      <c r="H235" s="28">
        <f t="shared" si="2"/>
        <v>1031.785415</v>
      </c>
      <c r="I235" s="29">
        <v>0.0</v>
      </c>
      <c r="J235" s="28">
        <f t="shared" si="3"/>
        <v>1031.785415</v>
      </c>
      <c r="K235" s="28">
        <f>1/(1+'Economic Inputs Parameters'!$B$5)^(A235)</f>
        <v>0.1481711936</v>
      </c>
      <c r="L235" s="28">
        <f t="shared" si="4"/>
        <v>152.8808764</v>
      </c>
      <c r="M235" s="60">
        <f t="shared" si="6"/>
        <v>-5323206.385</v>
      </c>
    </row>
    <row r="236" ht="12.75" customHeight="1">
      <c r="A236" s="49">
        <f t="shared" si="5"/>
        <v>232</v>
      </c>
      <c r="B236" s="28">
        <f>DCA_Forecast_Model!G237</f>
        <v>1015.084698</v>
      </c>
      <c r="C236" s="28">
        <f>DCA_Forecast_Model!H237</f>
        <v>13.06583471</v>
      </c>
      <c r="D236" s="29">
        <f>B236*'Economic Inputs Parameters'!$B$2</f>
        <v>3045.254095</v>
      </c>
      <c r="E236" s="29">
        <f>C236*'Economic Inputs Parameters'!$B$3</f>
        <v>914.6084296</v>
      </c>
      <c r="F236" s="29">
        <f t="shared" si="1"/>
        <v>3959.862525</v>
      </c>
      <c r="G236" s="28">
        <f>'Economic Inputs Parameters'!$B$4</f>
        <v>3000</v>
      </c>
      <c r="H236" s="28">
        <f t="shared" si="2"/>
        <v>959.8625251</v>
      </c>
      <c r="I236" s="29">
        <v>0.0</v>
      </c>
      <c r="J236" s="28">
        <f t="shared" si="3"/>
        <v>959.8625251</v>
      </c>
      <c r="K236" s="28">
        <f>1/(1+'Economic Inputs Parameters'!$B$5)^(A236)</f>
        <v>0.1469514962</v>
      </c>
      <c r="L236" s="28">
        <f t="shared" si="4"/>
        <v>141.0532342</v>
      </c>
      <c r="M236" s="60">
        <f t="shared" si="6"/>
        <v>-5323065.332</v>
      </c>
    </row>
    <row r="237" ht="12.75" customHeight="1">
      <c r="A237" s="49">
        <f t="shared" si="5"/>
        <v>233</v>
      </c>
      <c r="B237" s="28">
        <f>DCA_Forecast_Model!G238</f>
        <v>996.9766354</v>
      </c>
      <c r="C237" s="28">
        <f>DCA_Forecast_Model!H238</f>
        <v>12.83275371</v>
      </c>
      <c r="D237" s="29">
        <f>B237*'Economic Inputs Parameters'!$B$2</f>
        <v>2990.929906</v>
      </c>
      <c r="E237" s="29">
        <f>C237*'Economic Inputs Parameters'!$B$3</f>
        <v>898.2927594</v>
      </c>
      <c r="F237" s="29">
        <f t="shared" si="1"/>
        <v>3889.222666</v>
      </c>
      <c r="G237" s="28">
        <f>'Economic Inputs Parameters'!$B$4</f>
        <v>3000</v>
      </c>
      <c r="H237" s="28">
        <f t="shared" si="2"/>
        <v>889.2226656</v>
      </c>
      <c r="I237" s="29">
        <v>0.0</v>
      </c>
      <c r="J237" s="28">
        <f t="shared" si="3"/>
        <v>889.2226656</v>
      </c>
      <c r="K237" s="28">
        <f>1/(1+'Economic Inputs Parameters'!$B$5)^(A237)</f>
        <v>0.1457418389</v>
      </c>
      <c r="L237" s="28">
        <f t="shared" si="4"/>
        <v>129.5969465</v>
      </c>
      <c r="M237" s="60">
        <f t="shared" si="6"/>
        <v>-5322935.735</v>
      </c>
    </row>
    <row r="238" ht="12.75" customHeight="1">
      <c r="A238" s="49">
        <f t="shared" si="5"/>
        <v>234</v>
      </c>
      <c r="B238" s="28">
        <f>DCA_Forecast_Model!G239</f>
        <v>979.1916015</v>
      </c>
      <c r="C238" s="28">
        <f>DCA_Forecast_Model!H239</f>
        <v>12.60383063</v>
      </c>
      <c r="D238" s="29">
        <f>B238*'Economic Inputs Parameters'!$B$2</f>
        <v>2937.574804</v>
      </c>
      <c r="E238" s="29">
        <f>C238*'Economic Inputs Parameters'!$B$3</f>
        <v>882.2681439</v>
      </c>
      <c r="F238" s="29">
        <f t="shared" si="1"/>
        <v>3819.842948</v>
      </c>
      <c r="G238" s="28">
        <f>'Economic Inputs Parameters'!$B$4</f>
        <v>3000</v>
      </c>
      <c r="H238" s="28">
        <f t="shared" si="2"/>
        <v>819.8429483</v>
      </c>
      <c r="I238" s="29">
        <v>0.0</v>
      </c>
      <c r="J238" s="28">
        <f t="shared" si="3"/>
        <v>819.8429483</v>
      </c>
      <c r="K238" s="28">
        <f>1/(1+'Economic Inputs Parameters'!$B$5)^(A238)</f>
        <v>0.1445421391</v>
      </c>
      <c r="L238" s="28">
        <f t="shared" si="4"/>
        <v>118.5018535</v>
      </c>
      <c r="M238" s="60">
        <f t="shared" si="6"/>
        <v>-5322817.233</v>
      </c>
    </row>
    <row r="239" ht="12.75" customHeight="1">
      <c r="A239" s="49">
        <f t="shared" si="5"/>
        <v>235</v>
      </c>
      <c r="B239" s="28">
        <f>DCA_Forecast_Model!G240</f>
        <v>961.7238342</v>
      </c>
      <c r="C239" s="28">
        <f>DCA_Forecast_Model!H240</f>
        <v>12.3789913</v>
      </c>
      <c r="D239" s="29">
        <f>B239*'Economic Inputs Parameters'!$B$2</f>
        <v>2885.171503</v>
      </c>
      <c r="E239" s="29">
        <f>C239*'Economic Inputs Parameters'!$B$3</f>
        <v>866.5293911</v>
      </c>
      <c r="F239" s="29">
        <f t="shared" si="1"/>
        <v>3751.700894</v>
      </c>
      <c r="G239" s="28">
        <f>'Economic Inputs Parameters'!$B$4</f>
        <v>3000</v>
      </c>
      <c r="H239" s="28">
        <f t="shared" si="2"/>
        <v>751.7008936</v>
      </c>
      <c r="I239" s="29">
        <v>0.0</v>
      </c>
      <c r="J239" s="28">
        <f t="shared" si="3"/>
        <v>751.7008936</v>
      </c>
      <c r="K239" s="28">
        <f>1/(1+'Economic Inputs Parameters'!$B$5)^(A239)</f>
        <v>0.1433523149</v>
      </c>
      <c r="L239" s="28">
        <f t="shared" si="4"/>
        <v>107.7580632</v>
      </c>
      <c r="M239" s="60">
        <f t="shared" si="6"/>
        <v>-5322709.475</v>
      </c>
    </row>
    <row r="240" ht="12.75" customHeight="1">
      <c r="A240" s="49">
        <f t="shared" si="5"/>
        <v>236</v>
      </c>
      <c r="B240" s="28">
        <f>DCA_Forecast_Model!G241</f>
        <v>944.5676738</v>
      </c>
      <c r="C240" s="28">
        <f>DCA_Forecast_Model!H241</f>
        <v>12.15816288</v>
      </c>
      <c r="D240" s="29">
        <f>B240*'Economic Inputs Parameters'!$B$2</f>
        <v>2833.703021</v>
      </c>
      <c r="E240" s="29">
        <f>C240*'Economic Inputs Parameters'!$B$3</f>
        <v>851.0714013</v>
      </c>
      <c r="F240" s="29">
        <f t="shared" si="1"/>
        <v>3684.774423</v>
      </c>
      <c r="G240" s="28">
        <f>'Economic Inputs Parameters'!$B$4</f>
        <v>3000</v>
      </c>
      <c r="H240" s="28">
        <f t="shared" si="2"/>
        <v>684.7744227</v>
      </c>
      <c r="I240" s="29">
        <v>0.0</v>
      </c>
      <c r="J240" s="28">
        <f t="shared" si="3"/>
        <v>684.7744227</v>
      </c>
      <c r="K240" s="28">
        <f>1/(1+'Economic Inputs Parameters'!$B$5)^(A240)</f>
        <v>0.142172285</v>
      </c>
      <c r="L240" s="28">
        <f t="shared" si="4"/>
        <v>97.35594437</v>
      </c>
      <c r="M240" s="60">
        <f t="shared" si="6"/>
        <v>-5322612.119</v>
      </c>
    </row>
    <row r="241" ht="12.75" customHeight="1">
      <c r="A241" s="49">
        <f t="shared" si="5"/>
        <v>237</v>
      </c>
      <c r="B241" s="28">
        <f>DCA_Forecast_Model!G242</f>
        <v>927.7175616</v>
      </c>
      <c r="C241" s="28">
        <f>DCA_Forecast_Model!H242</f>
        <v>11.9412738</v>
      </c>
      <c r="D241" s="29">
        <f>B241*'Economic Inputs Parameters'!$B$2</f>
        <v>2783.152685</v>
      </c>
      <c r="E241" s="29">
        <f>C241*'Economic Inputs Parameters'!$B$3</f>
        <v>835.8891661</v>
      </c>
      <c r="F241" s="29">
        <f t="shared" si="1"/>
        <v>3619.041851</v>
      </c>
      <c r="G241" s="28">
        <f>'Economic Inputs Parameters'!$B$4</f>
        <v>3000</v>
      </c>
      <c r="H241" s="28">
        <f t="shared" si="2"/>
        <v>619.0418511</v>
      </c>
      <c r="I241" s="29">
        <v>0.0</v>
      </c>
      <c r="J241" s="28">
        <f t="shared" si="3"/>
        <v>619.0418511</v>
      </c>
      <c r="K241" s="28">
        <f>1/(1+'Economic Inputs Parameters'!$B$5)^(A241)</f>
        <v>0.1410019686</v>
      </c>
      <c r="L241" s="28">
        <f t="shared" si="4"/>
        <v>87.28611966</v>
      </c>
      <c r="M241" s="60">
        <f t="shared" si="6"/>
        <v>-5322524.833</v>
      </c>
    </row>
    <row r="242" ht="12.75" customHeight="1">
      <c r="A242" s="49">
        <f t="shared" si="5"/>
        <v>238</v>
      </c>
      <c r="B242" s="28">
        <f>DCA_Forecast_Model!G243</f>
        <v>911.1680381</v>
      </c>
      <c r="C242" s="28">
        <f>DCA_Forecast_Model!H243</f>
        <v>11.7282538</v>
      </c>
      <c r="D242" s="29">
        <f>B242*'Economic Inputs Parameters'!$B$2</f>
        <v>2733.504114</v>
      </c>
      <c r="E242" s="29">
        <f>C242*'Economic Inputs Parameters'!$B$3</f>
        <v>820.9777663</v>
      </c>
      <c r="F242" s="29">
        <f t="shared" si="1"/>
        <v>3554.481881</v>
      </c>
      <c r="G242" s="28">
        <f>'Economic Inputs Parameters'!$B$4</f>
        <v>3000</v>
      </c>
      <c r="H242" s="28">
        <f t="shared" si="2"/>
        <v>554.4818806</v>
      </c>
      <c r="I242" s="29">
        <v>0.0</v>
      </c>
      <c r="J242" s="28">
        <f t="shared" si="3"/>
        <v>554.4818806</v>
      </c>
      <c r="K242" s="28">
        <f>1/(1+'Economic Inputs Parameters'!$B$5)^(A242)</f>
        <v>0.1398412859</v>
      </c>
      <c r="L242" s="28">
        <f t="shared" si="4"/>
        <v>77.53945922</v>
      </c>
      <c r="M242" s="60">
        <f t="shared" si="6"/>
        <v>-5322447.294</v>
      </c>
    </row>
    <row r="243" ht="12.75" customHeight="1">
      <c r="A243" s="49">
        <f t="shared" si="5"/>
        <v>239</v>
      </c>
      <c r="B243" s="28">
        <f>DCA_Forecast_Model!G244</f>
        <v>894.9137409</v>
      </c>
      <c r="C243" s="28">
        <f>DCA_Forecast_Model!H244</f>
        <v>11.51903386</v>
      </c>
      <c r="D243" s="29">
        <f>B243*'Economic Inputs Parameters'!$B$2</f>
        <v>2684.741223</v>
      </c>
      <c r="E243" s="29">
        <f>C243*'Economic Inputs Parameters'!$B$3</f>
        <v>806.3323705</v>
      </c>
      <c r="F243" s="29">
        <f t="shared" si="1"/>
        <v>3491.073593</v>
      </c>
      <c r="G243" s="28">
        <f>'Economic Inputs Parameters'!$B$4</f>
        <v>3000</v>
      </c>
      <c r="H243" s="28">
        <f t="shared" si="2"/>
        <v>491.0735933</v>
      </c>
      <c r="I243" s="29">
        <v>0.0</v>
      </c>
      <c r="J243" s="28">
        <f t="shared" si="3"/>
        <v>491.0735933</v>
      </c>
      <c r="K243" s="28">
        <f>1/(1+'Economic Inputs Parameters'!$B$5)^(A243)</f>
        <v>0.1386901576</v>
      </c>
      <c r="L243" s="28">
        <f t="shared" si="4"/>
        <v>68.10707407</v>
      </c>
      <c r="M243" s="60">
        <f t="shared" si="6"/>
        <v>-5322379.187</v>
      </c>
    </row>
    <row r="244" ht="12.75" customHeight="1">
      <c r="A244" s="49">
        <f t="shared" si="5"/>
        <v>240</v>
      </c>
      <c r="B244" s="28">
        <f>DCA_Forecast_Model!G245</f>
        <v>878.9494037</v>
      </c>
      <c r="C244" s="28">
        <f>DCA_Forecast_Model!H245</f>
        <v>11.31354619</v>
      </c>
      <c r="D244" s="29">
        <f>B244*'Economic Inputs Parameters'!$B$2</f>
        <v>2636.848211</v>
      </c>
      <c r="E244" s="29">
        <f>C244*'Economic Inputs Parameters'!$B$3</f>
        <v>791.9482335</v>
      </c>
      <c r="F244" s="29">
        <f t="shared" si="1"/>
        <v>3428.796444</v>
      </c>
      <c r="G244" s="28">
        <f>'Economic Inputs Parameters'!$B$4</f>
        <v>3000</v>
      </c>
      <c r="H244" s="28">
        <f t="shared" si="2"/>
        <v>428.7964445</v>
      </c>
      <c r="I244" s="29">
        <v>0.0</v>
      </c>
      <c r="J244" s="28">
        <f t="shared" si="3"/>
        <v>428.7964445</v>
      </c>
      <c r="K244" s="28">
        <f>1/(1+'Economic Inputs Parameters'!$B$5)^(A244)</f>
        <v>0.137548505</v>
      </c>
      <c r="L244" s="28">
        <f t="shared" si="4"/>
        <v>58.98030991</v>
      </c>
      <c r="M244" s="60">
        <f t="shared" si="6"/>
        <v>-5322320.206</v>
      </c>
    </row>
    <row r="245" ht="12.75" customHeight="1">
      <c r="A245" s="49">
        <f t="shared" si="5"/>
        <v>241</v>
      </c>
      <c r="B245" s="28">
        <f>DCA_Forecast_Model!G246</f>
        <v>863.2698537</v>
      </c>
      <c r="C245" s="28">
        <f>DCA_Forecast_Model!H246</f>
        <v>11.11172421</v>
      </c>
      <c r="D245" s="29">
        <f>B245*'Economic Inputs Parameters'!$B$2</f>
        <v>2589.809561</v>
      </c>
      <c r="E245" s="29">
        <f>C245*'Economic Inputs Parameters'!$B$3</f>
        <v>777.8206945</v>
      </c>
      <c r="F245" s="29">
        <f t="shared" si="1"/>
        <v>3367.630256</v>
      </c>
      <c r="G245" s="28">
        <f>'Economic Inputs Parameters'!$B$4</f>
        <v>3000</v>
      </c>
      <c r="H245" s="28">
        <f t="shared" si="2"/>
        <v>367.6302556</v>
      </c>
      <c r="I245" s="29">
        <v>0.0</v>
      </c>
      <c r="J245" s="28">
        <f t="shared" si="3"/>
        <v>367.6302556</v>
      </c>
      <c r="K245" s="28">
        <f>1/(1+'Economic Inputs Parameters'!$B$5)^(A245)</f>
        <v>0.1364162502</v>
      </c>
      <c r="L245" s="28">
        <f t="shared" si="4"/>
        <v>50.15074092</v>
      </c>
      <c r="M245" s="60">
        <f t="shared" si="6"/>
        <v>-5322270.056</v>
      </c>
    </row>
    <row r="246" ht="12.75" customHeight="1">
      <c r="A246" s="49">
        <f t="shared" si="5"/>
        <v>242</v>
      </c>
      <c r="B246" s="28">
        <f>DCA_Forecast_Model!G247</f>
        <v>847.8700107</v>
      </c>
      <c r="C246" s="28">
        <f>DCA_Forecast_Model!H247</f>
        <v>10.91350252</v>
      </c>
      <c r="D246" s="29">
        <f>B246*'Economic Inputs Parameters'!$B$2</f>
        <v>2543.610032</v>
      </c>
      <c r="E246" s="29">
        <f>C246*'Economic Inputs Parameters'!$B$3</f>
        <v>763.9451763</v>
      </c>
      <c r="F246" s="29">
        <f t="shared" si="1"/>
        <v>3307.555208</v>
      </c>
      <c r="G246" s="28">
        <f>'Economic Inputs Parameters'!$B$4</f>
        <v>3000</v>
      </c>
      <c r="H246" s="28">
        <f t="shared" si="2"/>
        <v>307.5552085</v>
      </c>
      <c r="I246" s="29">
        <v>0.0</v>
      </c>
      <c r="J246" s="28">
        <f t="shared" si="3"/>
        <v>307.5552085</v>
      </c>
      <c r="K246" s="28">
        <f>1/(1+'Economic Inputs Parameters'!$B$5)^(A246)</f>
        <v>0.1352933157</v>
      </c>
      <c r="L246" s="28">
        <f t="shared" si="4"/>
        <v>41.6101639</v>
      </c>
      <c r="M246" s="60">
        <f t="shared" si="6"/>
        <v>-5322228.446</v>
      </c>
    </row>
    <row r="247" ht="12.75" customHeight="1">
      <c r="A247" s="49">
        <f t="shared" si="5"/>
        <v>243</v>
      </c>
      <c r="B247" s="28">
        <f>DCA_Forecast_Model!G248</f>
        <v>832.744885</v>
      </c>
      <c r="C247" s="28">
        <f>DCA_Forecast_Model!H248</f>
        <v>10.7188169</v>
      </c>
      <c r="D247" s="29">
        <f>B247*'Economic Inputs Parameters'!$B$2</f>
        <v>2498.234655</v>
      </c>
      <c r="E247" s="29">
        <f>C247*'Economic Inputs Parameters'!$B$3</f>
        <v>750.3171831</v>
      </c>
      <c r="F247" s="29">
        <f t="shared" si="1"/>
        <v>3248.551838</v>
      </c>
      <c r="G247" s="28">
        <f>'Economic Inputs Parameters'!$B$4</f>
        <v>3000</v>
      </c>
      <c r="H247" s="28">
        <f t="shared" si="2"/>
        <v>248.5518381</v>
      </c>
      <c r="I247" s="29">
        <v>0.0</v>
      </c>
      <c r="J247" s="28">
        <f t="shared" si="3"/>
        <v>248.5518381</v>
      </c>
      <c r="K247" s="28">
        <f>1/(1+'Economic Inputs Parameters'!$B$5)^(A247)</f>
        <v>0.1341796248</v>
      </c>
      <c r="L247" s="28">
        <f t="shared" si="4"/>
        <v>33.35059238</v>
      </c>
      <c r="M247" s="60">
        <f t="shared" si="6"/>
        <v>-5322195.095</v>
      </c>
    </row>
    <row r="248" ht="12.75" customHeight="1">
      <c r="A248" s="49">
        <f t="shared" si="5"/>
        <v>244</v>
      </c>
      <c r="B248" s="28">
        <f>DCA_Forecast_Model!G249</f>
        <v>817.889576</v>
      </c>
      <c r="C248" s="28">
        <f>DCA_Forecast_Model!H249</f>
        <v>10.52760427</v>
      </c>
      <c r="D248" s="29">
        <f>B248*'Economic Inputs Parameters'!$B$2</f>
        <v>2453.668728</v>
      </c>
      <c r="E248" s="29">
        <f>C248*'Economic Inputs Parameters'!$B$3</f>
        <v>736.9322991</v>
      </c>
      <c r="F248" s="29">
        <f t="shared" si="1"/>
        <v>3190.601027</v>
      </c>
      <c r="G248" s="28">
        <f>'Economic Inputs Parameters'!$B$4</f>
        <v>3000</v>
      </c>
      <c r="H248" s="28">
        <f t="shared" si="2"/>
        <v>190.601027</v>
      </c>
      <c r="I248" s="29">
        <v>0.0</v>
      </c>
      <c r="J248" s="28">
        <f t="shared" si="3"/>
        <v>190.601027</v>
      </c>
      <c r="K248" s="28">
        <f>1/(1+'Economic Inputs Parameters'!$B$5)^(A248)</f>
        <v>0.1330751014</v>
      </c>
      <c r="L248" s="28">
        <f t="shared" si="4"/>
        <v>25.364251</v>
      </c>
      <c r="M248" s="60">
        <f t="shared" si="6"/>
        <v>-5322169.731</v>
      </c>
    </row>
    <row r="249" ht="12.75" customHeight="1">
      <c r="A249" s="49">
        <f t="shared" si="5"/>
        <v>245</v>
      </c>
      <c r="B249" s="28">
        <f>DCA_Forecast_Model!G250</f>
        <v>803.2992703</v>
      </c>
      <c r="C249" s="28">
        <f>DCA_Forecast_Model!H250</f>
        <v>10.33980268</v>
      </c>
      <c r="D249" s="29">
        <f>B249*'Economic Inputs Parameters'!$B$2</f>
        <v>2409.897811</v>
      </c>
      <c r="E249" s="29">
        <f>C249*'Economic Inputs Parameters'!$B$3</f>
        <v>723.7861877</v>
      </c>
      <c r="F249" s="29">
        <f t="shared" si="1"/>
        <v>3133.683999</v>
      </c>
      <c r="G249" s="28">
        <f>'Economic Inputs Parameters'!$B$4</f>
        <v>3000</v>
      </c>
      <c r="H249" s="28">
        <f t="shared" si="2"/>
        <v>133.6839985</v>
      </c>
      <c r="I249" s="29">
        <v>0.0</v>
      </c>
      <c r="J249" s="28">
        <f t="shared" si="3"/>
        <v>133.6839985</v>
      </c>
      <c r="K249" s="28">
        <f>1/(1+'Economic Inputs Parameters'!$B$5)^(A249)</f>
        <v>0.1319796702</v>
      </c>
      <c r="L249" s="28">
        <f t="shared" si="4"/>
        <v>17.64357003</v>
      </c>
      <c r="M249" s="60">
        <f t="shared" si="6"/>
        <v>-5322152.087</v>
      </c>
    </row>
    <row r="250" ht="12.75" customHeight="1">
      <c r="A250" s="49">
        <f t="shared" si="5"/>
        <v>246</v>
      </c>
      <c r="B250" s="28">
        <f>DCA_Forecast_Model!G251</f>
        <v>788.9692406</v>
      </c>
      <c r="C250" s="28">
        <f>DCA_Forecast_Model!H251</f>
        <v>10.15535128</v>
      </c>
      <c r="D250" s="29">
        <f>B250*'Economic Inputs Parameters'!$B$2</f>
        <v>2366.907722</v>
      </c>
      <c r="E250" s="29">
        <f>C250*'Economic Inputs Parameters'!$B$3</f>
        <v>710.8745893</v>
      </c>
      <c r="F250" s="29">
        <f t="shared" si="1"/>
        <v>3077.782311</v>
      </c>
      <c r="G250" s="28">
        <f>'Economic Inputs Parameters'!$B$4</f>
        <v>3000</v>
      </c>
      <c r="H250" s="28">
        <f t="shared" si="2"/>
        <v>77.78231109</v>
      </c>
      <c r="I250" s="29">
        <v>0.0</v>
      </c>
      <c r="J250" s="28">
        <f t="shared" si="3"/>
        <v>77.78231109</v>
      </c>
      <c r="K250" s="28">
        <f>1/(1+'Economic Inputs Parameters'!$B$5)^(A250)</f>
        <v>0.1308932561</v>
      </c>
      <c r="L250" s="28">
        <f t="shared" si="4"/>
        <v>10.18117997</v>
      </c>
      <c r="M250" s="60">
        <f t="shared" si="6"/>
        <v>-5322141.906</v>
      </c>
    </row>
    <row r="251" ht="12.75" customHeight="1">
      <c r="A251" s="49">
        <f t="shared" si="5"/>
        <v>247</v>
      </c>
      <c r="B251" s="28">
        <f>DCA_Forecast_Model!G252</f>
        <v>774.8948438</v>
      </c>
      <c r="C251" s="28">
        <f>DCA_Forecast_Model!H252</f>
        <v>9.974190293</v>
      </c>
      <c r="D251" s="29">
        <f>B251*'Economic Inputs Parameters'!$B$2</f>
        <v>2324.684532</v>
      </c>
      <c r="E251" s="29">
        <f>C251*'Economic Inputs Parameters'!$B$3</f>
        <v>698.1933205</v>
      </c>
      <c r="F251" s="29">
        <f t="shared" si="1"/>
        <v>3022.877852</v>
      </c>
      <c r="G251" s="28">
        <f>'Economic Inputs Parameters'!$B$4</f>
        <v>3000</v>
      </c>
      <c r="H251" s="28">
        <f t="shared" si="2"/>
        <v>22.87785203</v>
      </c>
      <c r="I251" s="29">
        <v>0.0</v>
      </c>
      <c r="J251" s="28">
        <f t="shared" si="3"/>
        <v>22.87785203</v>
      </c>
      <c r="K251" s="28">
        <f>1/(1+'Economic Inputs Parameters'!$B$5)^(A251)</f>
        <v>0.1298157851</v>
      </c>
      <c r="L251" s="28">
        <f t="shared" si="4"/>
        <v>2.969906324</v>
      </c>
      <c r="M251" s="60">
        <f t="shared" si="6"/>
        <v>-5322138.936</v>
      </c>
    </row>
    <row r="252" ht="12.75" customHeight="1">
      <c r="A252" s="49">
        <f t="shared" si="5"/>
        <v>248</v>
      </c>
      <c r="B252" s="28">
        <f>DCA_Forecast_Model!G253</f>
        <v>761.0715198</v>
      </c>
      <c r="C252" s="28">
        <f>DCA_Forecast_Model!H253</f>
        <v>9.796261035</v>
      </c>
      <c r="D252" s="29">
        <f>B252*'Economic Inputs Parameters'!$B$2</f>
        <v>2283.214559</v>
      </c>
      <c r="E252" s="29">
        <f>C252*'Economic Inputs Parameters'!$B$3</f>
        <v>685.7382724</v>
      </c>
      <c r="F252" s="29">
        <f t="shared" si="1"/>
        <v>2968.952832</v>
      </c>
      <c r="G252" s="28">
        <f>'Economic Inputs Parameters'!$B$4</f>
        <v>3000</v>
      </c>
      <c r="H252" s="28">
        <f t="shared" si="2"/>
        <v>-31.04716815</v>
      </c>
      <c r="I252" s="29">
        <v>0.0</v>
      </c>
      <c r="J252" s="28">
        <f t="shared" si="3"/>
        <v>-31.04716815</v>
      </c>
      <c r="K252" s="28">
        <f>1/(1+'Economic Inputs Parameters'!$B$5)^(A252)</f>
        <v>0.1287471835</v>
      </c>
      <c r="L252" s="28">
        <f t="shared" si="4"/>
        <v>-3.997235455</v>
      </c>
      <c r="M252" s="60">
        <f t="shared" si="6"/>
        <v>-5322142.933</v>
      </c>
    </row>
    <row r="253" ht="12.75" customHeight="1">
      <c r="A253" s="49">
        <f t="shared" si="5"/>
        <v>249</v>
      </c>
      <c r="B253" s="28">
        <f>DCA_Forecast_Model!G254</f>
        <v>747.4947896</v>
      </c>
      <c r="C253" s="28">
        <f>DCA_Forecast_Model!H254</f>
        <v>9.621505851</v>
      </c>
      <c r="D253" s="29">
        <f>B253*'Economic Inputs Parameters'!$B$2</f>
        <v>2242.484369</v>
      </c>
      <c r="E253" s="29">
        <f>C253*'Economic Inputs Parameters'!$B$3</f>
        <v>673.5054096</v>
      </c>
      <c r="F253" s="29">
        <f t="shared" si="1"/>
        <v>2915.989778</v>
      </c>
      <c r="G253" s="28">
        <f>'Economic Inputs Parameters'!$B$4</f>
        <v>3000</v>
      </c>
      <c r="H253" s="28">
        <f t="shared" si="2"/>
        <v>-84.01022165</v>
      </c>
      <c r="I253" s="29">
        <v>0.0</v>
      </c>
      <c r="J253" s="28">
        <f t="shared" si="3"/>
        <v>-84.01022165</v>
      </c>
      <c r="K253" s="28">
        <f>1/(1+'Economic Inputs Parameters'!$B$5)^(A253)</f>
        <v>0.1276873783</v>
      </c>
      <c r="L253" s="28">
        <f t="shared" si="4"/>
        <v>-10.72704495</v>
      </c>
      <c r="M253" s="60">
        <f t="shared" si="6"/>
        <v>-5322153.66</v>
      </c>
    </row>
    <row r="254" ht="12.75" customHeight="1">
      <c r="A254" s="49">
        <f t="shared" si="5"/>
        <v>250</v>
      </c>
      <c r="B254" s="28">
        <f>DCA_Forecast_Model!G255</f>
        <v>734.1602542</v>
      </c>
      <c r="C254" s="28">
        <f>DCA_Forecast_Model!H255</f>
        <v>9.44986812</v>
      </c>
      <c r="D254" s="29">
        <f>B254*'Economic Inputs Parameters'!$B$2</f>
        <v>2202.480763</v>
      </c>
      <c r="E254" s="29">
        <f>C254*'Economic Inputs Parameters'!$B$3</f>
        <v>661.4907684</v>
      </c>
      <c r="F254" s="29">
        <f t="shared" si="1"/>
        <v>2863.971531</v>
      </c>
      <c r="G254" s="28">
        <f>'Economic Inputs Parameters'!$B$4</f>
        <v>3000</v>
      </c>
      <c r="H254" s="28">
        <f t="shared" si="2"/>
        <v>-136.0284689</v>
      </c>
      <c r="I254" s="29">
        <v>0.0</v>
      </c>
      <c r="J254" s="28">
        <f t="shared" si="3"/>
        <v>-136.0284689</v>
      </c>
      <c r="K254" s="28">
        <f>1/(1+'Economic Inputs Parameters'!$B$5)^(A254)</f>
        <v>0.126636297</v>
      </c>
      <c r="L254" s="28">
        <f t="shared" si="4"/>
        <v>-17.22614159</v>
      </c>
      <c r="M254" s="60">
        <f t="shared" si="6"/>
        <v>-5322170.887</v>
      </c>
    </row>
    <row r="255" ht="12.75" customHeight="1">
      <c r="A255" s="49">
        <f t="shared" si="5"/>
        <v>251</v>
      </c>
      <c r="B255" s="28">
        <f>DCA_Forecast_Model!G256</f>
        <v>721.0635932</v>
      </c>
      <c r="C255" s="28">
        <f>DCA_Forecast_Model!H256</f>
        <v>9.281292228</v>
      </c>
      <c r="D255" s="29">
        <f>B255*'Economic Inputs Parameters'!$B$2</f>
        <v>2163.19078</v>
      </c>
      <c r="E255" s="29">
        <f>C255*'Economic Inputs Parameters'!$B$3</f>
        <v>649.690456</v>
      </c>
      <c r="F255" s="29">
        <f t="shared" si="1"/>
        <v>2812.881236</v>
      </c>
      <c r="G255" s="28">
        <f>'Economic Inputs Parameters'!$B$4</f>
        <v>3000</v>
      </c>
      <c r="H255" s="28">
        <f t="shared" si="2"/>
        <v>-187.1187644</v>
      </c>
      <c r="I255" s="29">
        <v>0.0</v>
      </c>
      <c r="J255" s="28">
        <f t="shared" si="3"/>
        <v>-187.1187644</v>
      </c>
      <c r="K255" s="28">
        <f>1/(1+'Economic Inputs Parameters'!$B$5)^(A255)</f>
        <v>0.1255938679</v>
      </c>
      <c r="L255" s="28">
        <f t="shared" si="4"/>
        <v>-23.50096938</v>
      </c>
      <c r="M255" s="60">
        <f t="shared" si="6"/>
        <v>-5322194.387</v>
      </c>
    </row>
    <row r="256" ht="12.75" customHeight="1">
      <c r="A256" s="49">
        <f t="shared" si="5"/>
        <v>252</v>
      </c>
      <c r="B256" s="28">
        <f>DCA_Forecast_Model!G257</f>
        <v>708.2005631</v>
      </c>
      <c r="C256" s="28">
        <f>DCA_Forecast_Model!H257</f>
        <v>9.115723556</v>
      </c>
      <c r="D256" s="29">
        <f>B256*'Economic Inputs Parameters'!$B$2</f>
        <v>2124.601689</v>
      </c>
      <c r="E256" s="29">
        <f>C256*'Economic Inputs Parameters'!$B$3</f>
        <v>638.1006489</v>
      </c>
      <c r="F256" s="29">
        <f t="shared" si="1"/>
        <v>2762.702338</v>
      </c>
      <c r="G256" s="28">
        <f>'Economic Inputs Parameters'!$B$4</f>
        <v>3000</v>
      </c>
      <c r="H256" s="28">
        <f t="shared" si="2"/>
        <v>-237.2976618</v>
      </c>
      <c r="I256" s="29">
        <v>0.0</v>
      </c>
      <c r="J256" s="28">
        <f t="shared" si="3"/>
        <v>-237.2976618</v>
      </c>
      <c r="K256" s="28">
        <f>1/(1+'Economic Inputs Parameters'!$B$5)^(A256)</f>
        <v>0.1245600197</v>
      </c>
      <c r="L256" s="28">
        <f t="shared" si="4"/>
        <v>-29.55780143</v>
      </c>
      <c r="M256" s="60">
        <f t="shared" si="6"/>
        <v>-5322223.945</v>
      </c>
    </row>
    <row r="257" ht="12.75" customHeight="1">
      <c r="A257" s="49">
        <f t="shared" si="5"/>
        <v>253</v>
      </c>
      <c r="B257" s="28">
        <f>DCA_Forecast_Model!G258</f>
        <v>695.5669962</v>
      </c>
      <c r="C257" s="28">
        <f>DCA_Forecast_Model!H258</f>
        <v>8.953108459</v>
      </c>
      <c r="D257" s="29">
        <f>B257*'Economic Inputs Parameters'!$B$2</f>
        <v>2086.700989</v>
      </c>
      <c r="E257" s="29">
        <f>C257*'Economic Inputs Parameters'!$B$3</f>
        <v>626.7175921</v>
      </c>
      <c r="F257" s="29">
        <f t="shared" si="1"/>
        <v>2713.418581</v>
      </c>
      <c r="G257" s="28">
        <f>'Economic Inputs Parameters'!$B$4</f>
        <v>3000</v>
      </c>
      <c r="H257" s="28">
        <f t="shared" si="2"/>
        <v>-286.5814194</v>
      </c>
      <c r="I257" s="29">
        <v>0.0</v>
      </c>
      <c r="J257" s="28">
        <f t="shared" si="3"/>
        <v>-286.5814194</v>
      </c>
      <c r="K257" s="28">
        <f>1/(1+'Economic Inputs Parameters'!$B$5)^(A257)</f>
        <v>0.1235346819</v>
      </c>
      <c r="L257" s="28">
        <f t="shared" si="4"/>
        <v>-35.40274447</v>
      </c>
      <c r="M257" s="60">
        <f t="shared" si="6"/>
        <v>-5322259.348</v>
      </c>
    </row>
    <row r="258" ht="12.75" customHeight="1">
      <c r="A258" s="49">
        <f t="shared" si="5"/>
        <v>254</v>
      </c>
      <c r="B258" s="28">
        <f>DCA_Forecast_Model!G259</f>
        <v>683.158799</v>
      </c>
      <c r="C258" s="28">
        <f>DCA_Forecast_Model!H259</f>
        <v>8.793394247</v>
      </c>
      <c r="D258" s="29">
        <f>B258*'Economic Inputs Parameters'!$B$2</f>
        <v>2049.476397</v>
      </c>
      <c r="E258" s="29">
        <f>C258*'Economic Inputs Parameters'!$B$3</f>
        <v>615.5375973</v>
      </c>
      <c r="F258" s="29">
        <f t="shared" si="1"/>
        <v>2665.013994</v>
      </c>
      <c r="G258" s="28">
        <f>'Economic Inputs Parameters'!$B$4</f>
        <v>3000</v>
      </c>
      <c r="H258" s="28">
        <f t="shared" si="2"/>
        <v>-334.9860056</v>
      </c>
      <c r="I258" s="29">
        <v>0.0</v>
      </c>
      <c r="J258" s="28">
        <f t="shared" si="3"/>
        <v>-334.9860056</v>
      </c>
      <c r="K258" s="28">
        <f>1/(1+'Economic Inputs Parameters'!$B$5)^(A258)</f>
        <v>0.1225177843</v>
      </c>
      <c r="L258" s="28">
        <f t="shared" si="4"/>
        <v>-41.04174317</v>
      </c>
      <c r="M258" s="60">
        <f t="shared" si="6"/>
        <v>-5322300.39</v>
      </c>
    </row>
    <row r="259" ht="12.75" customHeight="1">
      <c r="A259" s="49">
        <f t="shared" si="5"/>
        <v>255</v>
      </c>
      <c r="B259" s="28">
        <f>DCA_Forecast_Model!G260</f>
        <v>670.9719513</v>
      </c>
      <c r="C259" s="28">
        <f>DCA_Forecast_Model!H260</f>
        <v>8.636529171</v>
      </c>
      <c r="D259" s="29">
        <f>B259*'Economic Inputs Parameters'!$B$2</f>
        <v>2012.915854</v>
      </c>
      <c r="E259" s="29">
        <f>C259*'Economic Inputs Parameters'!$B$3</f>
        <v>604.557042</v>
      </c>
      <c r="F259" s="29">
        <f t="shared" si="1"/>
        <v>2617.472896</v>
      </c>
      <c r="G259" s="28">
        <f>'Economic Inputs Parameters'!$B$4</f>
        <v>3000</v>
      </c>
      <c r="H259" s="28">
        <f t="shared" si="2"/>
        <v>-382.527104</v>
      </c>
      <c r="I259" s="29">
        <v>0.0</v>
      </c>
      <c r="J259" s="28">
        <f t="shared" si="3"/>
        <v>-382.527104</v>
      </c>
      <c r="K259" s="28">
        <f>1/(1+'Economic Inputs Parameters'!$B$5)^(A259)</f>
        <v>0.1215092574</v>
      </c>
      <c r="L259" s="28">
        <f t="shared" si="4"/>
        <v>-46.48058436</v>
      </c>
      <c r="M259" s="60">
        <f t="shared" si="6"/>
        <v>-5322346.87</v>
      </c>
    </row>
    <row r="260" ht="12.75" customHeight="1">
      <c r="A260" s="49">
        <f t="shared" si="5"/>
        <v>256</v>
      </c>
      <c r="B260" s="28">
        <f>DCA_Forecast_Model!G261</f>
        <v>659.0025044</v>
      </c>
      <c r="C260" s="28">
        <f>DCA_Forecast_Model!H261</f>
        <v>8.482462407</v>
      </c>
      <c r="D260" s="29">
        <f>B260*'Economic Inputs Parameters'!$B$2</f>
        <v>1977.007513</v>
      </c>
      <c r="E260" s="29">
        <f>C260*'Economic Inputs Parameters'!$B$3</f>
        <v>593.7723685</v>
      </c>
      <c r="F260" s="29">
        <f t="shared" si="1"/>
        <v>2570.779882</v>
      </c>
      <c r="G260" s="28">
        <f>'Economic Inputs Parameters'!$B$4</f>
        <v>3000</v>
      </c>
      <c r="H260" s="28">
        <f t="shared" si="2"/>
        <v>-429.2201183</v>
      </c>
      <c r="I260" s="29">
        <v>0.0</v>
      </c>
      <c r="J260" s="28">
        <f t="shared" si="3"/>
        <v>-429.2201183</v>
      </c>
      <c r="K260" s="28">
        <f>1/(1+'Economic Inputs Parameters'!$B$5)^(A260)</f>
        <v>0.1205090325</v>
      </c>
      <c r="L260" s="28">
        <f t="shared" si="4"/>
        <v>-51.72490117</v>
      </c>
      <c r="M260" s="60">
        <f t="shared" si="6"/>
        <v>-5322398.595</v>
      </c>
    </row>
    <row r="261" ht="12.75" customHeight="1">
      <c r="A261" s="49">
        <f t="shared" si="5"/>
        <v>257</v>
      </c>
      <c r="B261" s="28">
        <f>DCA_Forecast_Model!G262</f>
        <v>647.24658</v>
      </c>
      <c r="C261" s="28">
        <f>DCA_Forecast_Model!H262</f>
        <v>8.331144035</v>
      </c>
      <c r="D261" s="29">
        <f>B261*'Economic Inputs Parameters'!$B$2</f>
        <v>1941.73974</v>
      </c>
      <c r="E261" s="29">
        <f>C261*'Economic Inputs Parameters'!$B$3</f>
        <v>583.1800824</v>
      </c>
      <c r="F261" s="29">
        <f t="shared" si="1"/>
        <v>2524.919823</v>
      </c>
      <c r="G261" s="28">
        <f>'Economic Inputs Parameters'!$B$4</f>
        <v>3000</v>
      </c>
      <c r="H261" s="28">
        <f t="shared" si="2"/>
        <v>-475.0801775</v>
      </c>
      <c r="I261" s="29">
        <v>0.0</v>
      </c>
      <c r="J261" s="28">
        <f t="shared" si="3"/>
        <v>-475.0801775</v>
      </c>
      <c r="K261" s="28">
        <f>1/(1+'Economic Inputs Parameters'!$B$5)^(A261)</f>
        <v>0.119517041</v>
      </c>
      <c r="L261" s="28">
        <f t="shared" si="4"/>
        <v>-56.78017705</v>
      </c>
      <c r="M261" s="60">
        <f t="shared" si="6"/>
        <v>-5322455.375</v>
      </c>
    </row>
    <row r="262" ht="12.75" customHeight="1">
      <c r="A262" s="49">
        <f t="shared" si="5"/>
        <v>258</v>
      </c>
      <c r="B262" s="28">
        <f>DCA_Forecast_Model!G263</f>
        <v>635.7003692</v>
      </c>
      <c r="C262" s="28">
        <f>DCA_Forecast_Model!H263</f>
        <v>8.182525026</v>
      </c>
      <c r="D262" s="29">
        <f>B262*'Economic Inputs Parameters'!$B$2</f>
        <v>1907.101108</v>
      </c>
      <c r="E262" s="29">
        <f>C262*'Economic Inputs Parameters'!$B$3</f>
        <v>572.7767518</v>
      </c>
      <c r="F262" s="29">
        <f t="shared" si="1"/>
        <v>2479.87786</v>
      </c>
      <c r="G262" s="28">
        <f>'Economic Inputs Parameters'!$B$4</f>
        <v>3000</v>
      </c>
      <c r="H262" s="28">
        <f t="shared" si="2"/>
        <v>-520.1221405</v>
      </c>
      <c r="I262" s="29">
        <v>0.0</v>
      </c>
      <c r="J262" s="28">
        <f t="shared" si="3"/>
        <v>-520.1221405</v>
      </c>
      <c r="K262" s="28">
        <f>1/(1+'Economic Inputs Parameters'!$B$5)^(A262)</f>
        <v>0.1185332153</v>
      </c>
      <c r="L262" s="28">
        <f t="shared" si="4"/>
        <v>-61.65174967</v>
      </c>
      <c r="M262" s="60">
        <f t="shared" si="6"/>
        <v>-5322517.027</v>
      </c>
    </row>
    <row r="263" ht="12.75" customHeight="1">
      <c r="A263" s="49">
        <f t="shared" si="5"/>
        <v>259</v>
      </c>
      <c r="B263" s="28">
        <f>DCA_Forecast_Model!G264</f>
        <v>624.3601309</v>
      </c>
      <c r="C263" s="28">
        <f>DCA_Forecast_Model!H264</f>
        <v>8.036557227</v>
      </c>
      <c r="D263" s="29">
        <f>B263*'Economic Inputs Parameters'!$B$2</f>
        <v>1873.080393</v>
      </c>
      <c r="E263" s="29">
        <f>C263*'Economic Inputs Parameters'!$B$3</f>
        <v>562.5590059</v>
      </c>
      <c r="F263" s="29">
        <f t="shared" si="1"/>
        <v>2435.639399</v>
      </c>
      <c r="G263" s="28">
        <f>'Economic Inputs Parameters'!$B$4</f>
        <v>3000</v>
      </c>
      <c r="H263" s="28">
        <f t="shared" si="2"/>
        <v>-564.3606014</v>
      </c>
      <c r="I263" s="29">
        <v>0.0</v>
      </c>
      <c r="J263" s="28">
        <f t="shared" si="3"/>
        <v>-564.3606014</v>
      </c>
      <c r="K263" s="28">
        <f>1/(1+'Economic Inputs Parameters'!$B$5)^(A263)</f>
        <v>0.1175574882</v>
      </c>
      <c r="L263" s="28">
        <f t="shared" si="4"/>
        <v>-66.34481472</v>
      </c>
      <c r="M263" s="60">
        <f t="shared" si="6"/>
        <v>-5322583.372</v>
      </c>
    </row>
    <row r="264" ht="12.75" customHeight="1">
      <c r="A264" s="49">
        <f t="shared" si="5"/>
        <v>260</v>
      </c>
      <c r="B264" s="28">
        <f>DCA_Forecast_Model!G265</f>
        <v>613.2221908</v>
      </c>
      <c r="C264" s="28">
        <f>DCA_Forecast_Model!H265</f>
        <v>7.893193342</v>
      </c>
      <c r="D264" s="29">
        <f>B264*'Economic Inputs Parameters'!$B$2</f>
        <v>1839.666572</v>
      </c>
      <c r="E264" s="29">
        <f>C264*'Economic Inputs Parameters'!$B$3</f>
        <v>552.523534</v>
      </c>
      <c r="F264" s="29">
        <f t="shared" si="1"/>
        <v>2392.190106</v>
      </c>
      <c r="G264" s="28">
        <f>'Economic Inputs Parameters'!$B$4</f>
        <v>3000</v>
      </c>
      <c r="H264" s="28">
        <f t="shared" si="2"/>
        <v>-607.8098938</v>
      </c>
      <c r="I264" s="29">
        <v>0.0</v>
      </c>
      <c r="J264" s="28">
        <f t="shared" si="3"/>
        <v>-607.8098938</v>
      </c>
      <c r="K264" s="28">
        <f>1/(1+'Economic Inputs Parameters'!$B$5)^(A264)</f>
        <v>0.1165897929</v>
      </c>
      <c r="L264" s="28">
        <f t="shared" si="4"/>
        <v>-70.86442963</v>
      </c>
      <c r="M264" s="60">
        <f t="shared" si="6"/>
        <v>-5322654.236</v>
      </c>
    </row>
    <row r="265" ht="12.75" customHeight="1">
      <c r="A265" s="49">
        <f t="shared" si="5"/>
        <v>261</v>
      </c>
      <c r="B265" s="28">
        <f>DCA_Forecast_Model!G266</f>
        <v>602.2829399</v>
      </c>
      <c r="C265" s="28">
        <f>DCA_Forecast_Model!H266</f>
        <v>7.752386922</v>
      </c>
      <c r="D265" s="29">
        <f>B265*'Economic Inputs Parameters'!$B$2</f>
        <v>1806.84882</v>
      </c>
      <c r="E265" s="29">
        <f>C265*'Economic Inputs Parameters'!$B$3</f>
        <v>542.6670845</v>
      </c>
      <c r="F265" s="29">
        <f t="shared" si="1"/>
        <v>2349.515904</v>
      </c>
      <c r="G265" s="28">
        <f>'Economic Inputs Parameters'!$B$4</f>
        <v>3000</v>
      </c>
      <c r="H265" s="28">
        <f t="shared" si="2"/>
        <v>-650.4840957</v>
      </c>
      <c r="I265" s="29">
        <v>0.0</v>
      </c>
      <c r="J265" s="28">
        <f t="shared" si="3"/>
        <v>-650.4840957</v>
      </c>
      <c r="K265" s="28">
        <f>1/(1+'Economic Inputs Parameters'!$B$5)^(A265)</f>
        <v>0.1156300634</v>
      </c>
      <c r="L265" s="28">
        <f t="shared" si="4"/>
        <v>-75.2155172</v>
      </c>
      <c r="M265" s="60">
        <f t="shared" si="6"/>
        <v>-5322729.452</v>
      </c>
    </row>
    <row r="266" ht="12.75" customHeight="1">
      <c r="A266" s="49">
        <f t="shared" si="5"/>
        <v>262</v>
      </c>
      <c r="B266" s="28">
        <f>DCA_Forecast_Model!G267</f>
        <v>591.5388341</v>
      </c>
      <c r="C266" s="28">
        <f>DCA_Forecast_Model!H267</f>
        <v>7.614092342</v>
      </c>
      <c r="D266" s="29">
        <f>B266*'Economic Inputs Parameters'!$B$2</f>
        <v>1774.616502</v>
      </c>
      <c r="E266" s="29">
        <f>C266*'Economic Inputs Parameters'!$B$3</f>
        <v>532.9864639</v>
      </c>
      <c r="F266" s="29">
        <f t="shared" si="1"/>
        <v>2307.602966</v>
      </c>
      <c r="G266" s="28">
        <f>'Economic Inputs Parameters'!$B$4</f>
        <v>3000</v>
      </c>
      <c r="H266" s="28">
        <f t="shared" si="2"/>
        <v>-692.3970339</v>
      </c>
      <c r="I266" s="29">
        <v>0.0</v>
      </c>
      <c r="J266" s="28">
        <f t="shared" si="3"/>
        <v>-692.3970339</v>
      </c>
      <c r="K266" s="28">
        <f>1/(1+'Economic Inputs Parameters'!$B$5)^(A266)</f>
        <v>0.114678234</v>
      </c>
      <c r="L266" s="28">
        <f t="shared" si="4"/>
        <v>-79.40286909</v>
      </c>
      <c r="M266" s="60">
        <f t="shared" si="6"/>
        <v>-5322808.855</v>
      </c>
    </row>
    <row r="267" ht="12.75" customHeight="1">
      <c r="A267" s="49">
        <f t="shared" si="5"/>
        <v>263</v>
      </c>
      <c r="B267" s="28">
        <f>DCA_Forecast_Model!G268</f>
        <v>580.9863919</v>
      </c>
      <c r="C267" s="28">
        <f>DCA_Forecast_Model!H268</f>
        <v>7.478264795</v>
      </c>
      <c r="D267" s="29">
        <f>B267*'Economic Inputs Parameters'!$B$2</f>
        <v>1742.959176</v>
      </c>
      <c r="E267" s="29">
        <f>C267*'Economic Inputs Parameters'!$B$3</f>
        <v>523.4785357</v>
      </c>
      <c r="F267" s="29">
        <f t="shared" si="1"/>
        <v>2266.437711</v>
      </c>
      <c r="G267" s="28">
        <f>'Economic Inputs Parameters'!$B$4</f>
        <v>3000</v>
      </c>
      <c r="H267" s="28">
        <f t="shared" si="2"/>
        <v>-733.5622885</v>
      </c>
      <c r="I267" s="29">
        <v>0.0</v>
      </c>
      <c r="J267" s="28">
        <f t="shared" si="3"/>
        <v>-733.5622885</v>
      </c>
      <c r="K267" s="28">
        <f>1/(1+'Economic Inputs Parameters'!$B$5)^(A267)</f>
        <v>0.1137342398</v>
      </c>
      <c r="L267" s="28">
        <f t="shared" si="4"/>
        <v>-83.43114925</v>
      </c>
      <c r="M267" s="60">
        <f t="shared" si="6"/>
        <v>-5322892.286</v>
      </c>
    </row>
    <row r="268" ht="12.75" customHeight="1">
      <c r="A268" s="49">
        <f t="shared" si="5"/>
        <v>264</v>
      </c>
      <c r="B268" s="28">
        <f>DCA_Forecast_Model!G269</f>
        <v>570.6221945</v>
      </c>
      <c r="C268" s="28">
        <f>DCA_Forecast_Model!H269</f>
        <v>7.344860272</v>
      </c>
      <c r="D268" s="29">
        <f>B268*'Economic Inputs Parameters'!$B$2</f>
        <v>1711.866583</v>
      </c>
      <c r="E268" s="29">
        <f>C268*'Economic Inputs Parameters'!$B$3</f>
        <v>514.140219</v>
      </c>
      <c r="F268" s="29">
        <f t="shared" si="1"/>
        <v>2226.006802</v>
      </c>
      <c r="G268" s="28">
        <f>'Economic Inputs Parameters'!$B$4</f>
        <v>3000</v>
      </c>
      <c r="H268" s="28">
        <f t="shared" si="2"/>
        <v>-773.9931975</v>
      </c>
      <c r="I268" s="29">
        <v>0.0</v>
      </c>
      <c r="J268" s="28">
        <f t="shared" si="3"/>
        <v>-773.9931975</v>
      </c>
      <c r="K268" s="28">
        <f>1/(1+'Economic Inputs Parameters'!$B$5)^(A268)</f>
        <v>0.1127980163</v>
      </c>
      <c r="L268" s="28">
        <f t="shared" si="4"/>
        <v>-87.30489731</v>
      </c>
      <c r="M268" s="60">
        <f t="shared" si="6"/>
        <v>-5322979.591</v>
      </c>
    </row>
    <row r="269" ht="12.75" customHeight="1">
      <c r="A269" s="49">
        <f t="shared" si="5"/>
        <v>265</v>
      </c>
      <c r="B269" s="28">
        <f>DCA_Forecast_Model!G270</f>
        <v>560.4428836</v>
      </c>
      <c r="C269" s="28">
        <f>DCA_Forecast_Model!H270</f>
        <v>7.213835547</v>
      </c>
      <c r="D269" s="29">
        <f>B269*'Economic Inputs Parameters'!$B$2</f>
        <v>1681.328651</v>
      </c>
      <c r="E269" s="29">
        <f>C269*'Economic Inputs Parameters'!$B$3</f>
        <v>504.9684883</v>
      </c>
      <c r="F269" s="29">
        <f t="shared" si="1"/>
        <v>2186.297139</v>
      </c>
      <c r="G269" s="28">
        <f>'Economic Inputs Parameters'!$B$4</f>
        <v>3000</v>
      </c>
      <c r="H269" s="28">
        <f t="shared" si="2"/>
        <v>-813.7028608</v>
      </c>
      <c r="I269" s="29">
        <v>0.0</v>
      </c>
      <c r="J269" s="28">
        <f t="shared" si="3"/>
        <v>-813.7028608</v>
      </c>
      <c r="K269" s="28">
        <f>1/(1+'Economic Inputs Parameters'!$B$5)^(A269)</f>
        <v>0.1118694995</v>
      </c>
      <c r="L269" s="28">
        <f t="shared" si="4"/>
        <v>-91.02853174</v>
      </c>
      <c r="M269" s="60">
        <f t="shared" si="6"/>
        <v>-5323070.619</v>
      </c>
    </row>
    <row r="270" ht="12.75" customHeight="1">
      <c r="A270" s="49">
        <f t="shared" si="5"/>
        <v>266</v>
      </c>
      <c r="B270" s="28">
        <f>DCA_Forecast_Model!G271</f>
        <v>550.4451612</v>
      </c>
      <c r="C270" s="28">
        <f>DCA_Forecast_Model!H271</f>
        <v>7.085148168</v>
      </c>
      <c r="D270" s="29">
        <f>B270*'Economic Inputs Parameters'!$B$2</f>
        <v>1651.335483</v>
      </c>
      <c r="E270" s="29">
        <f>C270*'Economic Inputs Parameters'!$B$3</f>
        <v>495.9603718</v>
      </c>
      <c r="F270" s="29">
        <f t="shared" si="1"/>
        <v>2147.295855</v>
      </c>
      <c r="G270" s="28">
        <f>'Economic Inputs Parameters'!$B$4</f>
        <v>3000</v>
      </c>
      <c r="H270" s="28">
        <f t="shared" si="2"/>
        <v>-852.7041448</v>
      </c>
      <c r="I270" s="29">
        <v>0.0</v>
      </c>
      <c r="J270" s="28">
        <f t="shared" si="3"/>
        <v>-852.7041448</v>
      </c>
      <c r="K270" s="28">
        <f>1/(1+'Economic Inputs Parameters'!$B$5)^(A270)</f>
        <v>0.1109486259</v>
      </c>
      <c r="L270" s="28">
        <f t="shared" si="4"/>
        <v>-94.60635312</v>
      </c>
      <c r="M270" s="60">
        <f t="shared" si="6"/>
        <v>-5323165.226</v>
      </c>
    </row>
    <row r="271" ht="12.75" customHeight="1">
      <c r="A271" s="49">
        <f t="shared" si="5"/>
        <v>267</v>
      </c>
      <c r="B271" s="28">
        <f>DCA_Forecast_Model!G272</f>
        <v>540.6257877</v>
      </c>
      <c r="C271" s="28">
        <f>DCA_Forecast_Model!H272</f>
        <v>6.958756439</v>
      </c>
      <c r="D271" s="29">
        <f>B271*'Economic Inputs Parameters'!$B$2</f>
        <v>1621.877363</v>
      </c>
      <c r="E271" s="29">
        <f>C271*'Economic Inputs Parameters'!$B$3</f>
        <v>487.1129507</v>
      </c>
      <c r="F271" s="29">
        <f t="shared" si="1"/>
        <v>2108.990314</v>
      </c>
      <c r="G271" s="28">
        <f>'Economic Inputs Parameters'!$B$4</f>
        <v>3000</v>
      </c>
      <c r="H271" s="28">
        <f t="shared" si="2"/>
        <v>-891.009686</v>
      </c>
      <c r="I271" s="29">
        <v>0.0</v>
      </c>
      <c r="J271" s="28">
        <f t="shared" si="3"/>
        <v>-891.009686</v>
      </c>
      <c r="K271" s="28">
        <f>1/(1+'Economic Inputs Parameters'!$B$5)^(A271)</f>
        <v>0.1100353326</v>
      </c>
      <c r="L271" s="28">
        <f t="shared" si="4"/>
        <v>-98.04254715</v>
      </c>
      <c r="M271" s="60">
        <f t="shared" si="6"/>
        <v>-5323263.268</v>
      </c>
    </row>
    <row r="272" ht="12.75" customHeight="1">
      <c r="A272" s="49">
        <f t="shared" si="5"/>
        <v>268</v>
      </c>
      <c r="B272" s="28">
        <f>DCA_Forecast_Model!G273</f>
        <v>530.9815818</v>
      </c>
      <c r="C272" s="28">
        <f>DCA_Forecast_Model!H273</f>
        <v>6.834619408</v>
      </c>
      <c r="D272" s="29">
        <f>B272*'Economic Inputs Parameters'!$B$2</f>
        <v>1592.944745</v>
      </c>
      <c r="E272" s="29">
        <f>C272*'Economic Inputs Parameters'!$B$3</f>
        <v>478.4233586</v>
      </c>
      <c r="F272" s="29">
        <f t="shared" si="1"/>
        <v>2071.368104</v>
      </c>
      <c r="G272" s="28">
        <f>'Economic Inputs Parameters'!$B$4</f>
        <v>3000</v>
      </c>
      <c r="H272" s="28">
        <f t="shared" si="2"/>
        <v>-928.631896</v>
      </c>
      <c r="I272" s="29">
        <v>0.0</v>
      </c>
      <c r="J272" s="28">
        <f t="shared" si="3"/>
        <v>-928.631896</v>
      </c>
      <c r="K272" s="28">
        <f>1/(1+'Economic Inputs Parameters'!$B$5)^(A272)</f>
        <v>0.1091295573</v>
      </c>
      <c r="L272" s="28">
        <f t="shared" si="4"/>
        <v>-101.3411877</v>
      </c>
      <c r="M272" s="60">
        <f t="shared" si="6"/>
        <v>-5323364.609</v>
      </c>
    </row>
    <row r="273" ht="12.75" customHeight="1">
      <c r="A273" s="49">
        <f t="shared" si="5"/>
        <v>269</v>
      </c>
      <c r="B273" s="28">
        <f>DCA_Forecast_Model!G274</f>
        <v>521.5094186</v>
      </c>
      <c r="C273" s="28">
        <f>DCA_Forecast_Model!H274</f>
        <v>6.712696854</v>
      </c>
      <c r="D273" s="29">
        <f>B273*'Economic Inputs Parameters'!$B$2</f>
        <v>1564.528256</v>
      </c>
      <c r="E273" s="29">
        <f>C273*'Economic Inputs Parameters'!$B$3</f>
        <v>469.8887798</v>
      </c>
      <c r="F273" s="29">
        <f t="shared" si="1"/>
        <v>2034.417035</v>
      </c>
      <c r="G273" s="28">
        <f>'Economic Inputs Parameters'!$B$4</f>
        <v>3000</v>
      </c>
      <c r="H273" s="28">
        <f t="shared" si="2"/>
        <v>-965.5829646</v>
      </c>
      <c r="I273" s="29">
        <v>0.0</v>
      </c>
      <c r="J273" s="28">
        <f t="shared" si="3"/>
        <v>-965.5829646</v>
      </c>
      <c r="K273" s="28">
        <f>1/(1+'Economic Inputs Parameters'!$B$5)^(A273)</f>
        <v>0.108231238</v>
      </c>
      <c r="L273" s="28">
        <f t="shared" si="4"/>
        <v>-104.5062396</v>
      </c>
      <c r="M273" s="60">
        <f t="shared" si="6"/>
        <v>-5323469.116</v>
      </c>
    </row>
    <row r="274" ht="12.75" customHeight="1">
      <c r="A274" s="49">
        <f t="shared" si="5"/>
        <v>270</v>
      </c>
      <c r="B274" s="28">
        <f>DCA_Forecast_Model!G275</f>
        <v>512.2062289</v>
      </c>
      <c r="C274" s="28">
        <f>DCA_Forecast_Model!H275</f>
        <v>6.592949272</v>
      </c>
      <c r="D274" s="29">
        <f>B274*'Economic Inputs Parameters'!$B$2</f>
        <v>1536.618687</v>
      </c>
      <c r="E274" s="29">
        <f>C274*'Economic Inputs Parameters'!$B$3</f>
        <v>461.506449</v>
      </c>
      <c r="F274" s="29">
        <f t="shared" si="1"/>
        <v>1998.125136</v>
      </c>
      <c r="G274" s="28">
        <f>'Economic Inputs Parameters'!$B$4</f>
        <v>3000</v>
      </c>
      <c r="H274" s="28">
        <f t="shared" si="2"/>
        <v>-1001.874864</v>
      </c>
      <c r="I274" s="29">
        <v>0.0</v>
      </c>
      <c r="J274" s="28">
        <f t="shared" si="3"/>
        <v>-1001.874864</v>
      </c>
      <c r="K274" s="28">
        <f>1/(1+'Economic Inputs Parameters'!$B$5)^(A274)</f>
        <v>0.1073403134</v>
      </c>
      <c r="L274" s="28">
        <f t="shared" si="4"/>
        <v>-107.5415619</v>
      </c>
      <c r="M274" s="60">
        <f t="shared" si="6"/>
        <v>-5323576.657</v>
      </c>
    </row>
    <row r="275" ht="12.75" customHeight="1">
      <c r="A275" s="49">
        <f t="shared" si="5"/>
        <v>271</v>
      </c>
      <c r="B275" s="28">
        <f>DCA_Forecast_Model!G276</f>
        <v>503.0689986</v>
      </c>
      <c r="C275" s="28">
        <f>DCA_Forecast_Model!H276</f>
        <v>6.475337863</v>
      </c>
      <c r="D275" s="29">
        <f>B275*'Economic Inputs Parameters'!$B$2</f>
        <v>1509.206996</v>
      </c>
      <c r="E275" s="29">
        <f>C275*'Economic Inputs Parameters'!$B$3</f>
        <v>453.2736504</v>
      </c>
      <c r="F275" s="29">
        <f t="shared" si="1"/>
        <v>1962.480646</v>
      </c>
      <c r="G275" s="28">
        <f>'Economic Inputs Parameters'!$B$4</f>
        <v>3000</v>
      </c>
      <c r="H275" s="28">
        <f t="shared" si="2"/>
        <v>-1037.519354</v>
      </c>
      <c r="I275" s="29">
        <v>0.0</v>
      </c>
      <c r="J275" s="28">
        <f t="shared" si="3"/>
        <v>-1037.519354</v>
      </c>
      <c r="K275" s="28">
        <f>1/(1+'Economic Inputs Parameters'!$B$5)^(A275)</f>
        <v>0.1064567226</v>
      </c>
      <c r="L275" s="28">
        <f t="shared" si="4"/>
        <v>-110.45091</v>
      </c>
      <c r="M275" s="60">
        <f t="shared" si="6"/>
        <v>-5323687.108</v>
      </c>
    </row>
    <row r="276" ht="12.75" customHeight="1">
      <c r="A276" s="49">
        <f t="shared" si="5"/>
        <v>272</v>
      </c>
      <c r="B276" s="28">
        <f>DCA_Forecast_Model!G277</f>
        <v>494.094767</v>
      </c>
      <c r="C276" s="28">
        <f>DCA_Forecast_Model!H277</f>
        <v>6.35982452</v>
      </c>
      <c r="D276" s="29">
        <f>B276*'Economic Inputs Parameters'!$B$2</f>
        <v>1482.284301</v>
      </c>
      <c r="E276" s="29">
        <f>C276*'Economic Inputs Parameters'!$B$3</f>
        <v>445.1877164</v>
      </c>
      <c r="F276" s="29">
        <f t="shared" si="1"/>
        <v>1927.472017</v>
      </c>
      <c r="G276" s="28">
        <f>'Economic Inputs Parameters'!$B$4</f>
        <v>3000</v>
      </c>
      <c r="H276" s="28">
        <f t="shared" si="2"/>
        <v>-1072.527983</v>
      </c>
      <c r="I276" s="29">
        <v>0.0</v>
      </c>
      <c r="J276" s="28">
        <f t="shared" si="3"/>
        <v>-1072.527983</v>
      </c>
      <c r="K276" s="28">
        <f>1/(1+'Economic Inputs Parameters'!$B$5)^(A276)</f>
        <v>0.1055804052</v>
      </c>
      <c r="L276" s="28">
        <f t="shared" si="4"/>
        <v>-113.237939</v>
      </c>
      <c r="M276" s="60">
        <f t="shared" si="6"/>
        <v>-5323800.346</v>
      </c>
    </row>
    <row r="277" ht="12.75" customHeight="1">
      <c r="A277" s="49">
        <f t="shared" si="5"/>
        <v>273</v>
      </c>
      <c r="B277" s="28">
        <f>DCA_Forecast_Model!G278</f>
        <v>485.2806264</v>
      </c>
      <c r="C277" s="28">
        <f>DCA_Forecast_Model!H278</f>
        <v>6.246371816</v>
      </c>
      <c r="D277" s="29">
        <f>B277*'Economic Inputs Parameters'!$B$2</f>
        <v>1455.841879</v>
      </c>
      <c r="E277" s="29">
        <f>C277*'Economic Inputs Parameters'!$B$3</f>
        <v>437.2460272</v>
      </c>
      <c r="F277" s="29">
        <f t="shared" si="1"/>
        <v>1893.087906</v>
      </c>
      <c r="G277" s="28">
        <f>'Economic Inputs Parameters'!$B$4</f>
        <v>3000</v>
      </c>
      <c r="H277" s="28">
        <f t="shared" si="2"/>
        <v>-1106.912094</v>
      </c>
      <c r="I277" s="29">
        <v>0.0</v>
      </c>
      <c r="J277" s="28">
        <f t="shared" si="3"/>
        <v>-1106.912094</v>
      </c>
      <c r="K277" s="28">
        <f>1/(1+'Economic Inputs Parameters'!$B$5)^(A277)</f>
        <v>0.1047113014</v>
      </c>
      <c r="L277" s="28">
        <f t="shared" si="4"/>
        <v>-115.9062059</v>
      </c>
      <c r="M277" s="60">
        <f t="shared" si="6"/>
        <v>-5323916.252</v>
      </c>
    </row>
    <row r="278" ht="12.75" customHeight="1">
      <c r="A278" s="49">
        <f t="shared" si="5"/>
        <v>274</v>
      </c>
      <c r="B278" s="28">
        <f>DCA_Forecast_Model!G279</f>
        <v>476.623721</v>
      </c>
      <c r="C278" s="28">
        <f>DCA_Forecast_Model!H279</f>
        <v>6.134942992</v>
      </c>
      <c r="D278" s="29">
        <f>B278*'Economic Inputs Parameters'!$B$2</f>
        <v>1429.871163</v>
      </c>
      <c r="E278" s="29">
        <f>C278*'Economic Inputs Parameters'!$B$3</f>
        <v>429.4460094</v>
      </c>
      <c r="F278" s="29">
        <f t="shared" si="1"/>
        <v>1859.317173</v>
      </c>
      <c r="G278" s="28">
        <f>'Economic Inputs Parameters'!$B$4</f>
        <v>3000</v>
      </c>
      <c r="H278" s="28">
        <f t="shared" si="2"/>
        <v>-1140.682827</v>
      </c>
      <c r="I278" s="29">
        <v>0.0</v>
      </c>
      <c r="J278" s="28">
        <f t="shared" si="3"/>
        <v>-1140.682827</v>
      </c>
      <c r="K278" s="28">
        <f>1/(1+'Economic Inputs Parameters'!$B$5)^(A278)</f>
        <v>0.1038493518</v>
      </c>
      <c r="L278" s="28">
        <f t="shared" si="4"/>
        <v>-118.4591723</v>
      </c>
      <c r="M278" s="60">
        <f t="shared" si="6"/>
        <v>-5324034.712</v>
      </c>
    </row>
    <row r="279" ht="12.75" customHeight="1">
      <c r="A279" s="49">
        <f t="shared" si="5"/>
        <v>275</v>
      </c>
      <c r="B279" s="28">
        <f>DCA_Forecast_Model!G280</f>
        <v>468.1212459</v>
      </c>
      <c r="C279" s="28">
        <f>DCA_Forecast_Model!H280</f>
        <v>6.025501942</v>
      </c>
      <c r="D279" s="29">
        <f>B279*'Economic Inputs Parameters'!$B$2</f>
        <v>1404.363738</v>
      </c>
      <c r="E279" s="29">
        <f>C279*'Economic Inputs Parameters'!$B$3</f>
        <v>421.785136</v>
      </c>
      <c r="F279" s="29">
        <f t="shared" si="1"/>
        <v>1826.148874</v>
      </c>
      <c r="G279" s="28">
        <f>'Economic Inputs Parameters'!$B$4</f>
        <v>3000</v>
      </c>
      <c r="H279" s="28">
        <f t="shared" si="2"/>
        <v>-1173.851126</v>
      </c>
      <c r="I279" s="29">
        <v>0.0</v>
      </c>
      <c r="J279" s="28">
        <f t="shared" si="3"/>
        <v>-1173.851126</v>
      </c>
      <c r="K279" s="28">
        <f>1/(1+'Economic Inputs Parameters'!$B$5)^(A279)</f>
        <v>0.1029944975</v>
      </c>
      <c r="L279" s="28">
        <f t="shared" si="4"/>
        <v>-120.9002069</v>
      </c>
      <c r="M279" s="60">
        <f t="shared" si="6"/>
        <v>-5324155.612</v>
      </c>
    </row>
    <row r="280" ht="12.75" customHeight="1">
      <c r="A280" s="49">
        <f t="shared" si="5"/>
        <v>276</v>
      </c>
      <c r="B280" s="28">
        <f>DCA_Forecast_Model!G281</f>
        <v>459.7704461</v>
      </c>
      <c r="C280" s="28">
        <f>DCA_Forecast_Model!H281</f>
        <v>5.918013208</v>
      </c>
      <c r="D280" s="29">
        <f>B280*'Economic Inputs Parameters'!$B$2</f>
        <v>1379.311338</v>
      </c>
      <c r="E280" s="29">
        <f>C280*'Economic Inputs Parameters'!$B$3</f>
        <v>414.2609246</v>
      </c>
      <c r="F280" s="29">
        <f t="shared" si="1"/>
        <v>1793.572263</v>
      </c>
      <c r="G280" s="28">
        <f>'Economic Inputs Parameters'!$B$4</f>
        <v>3000</v>
      </c>
      <c r="H280" s="28">
        <f t="shared" si="2"/>
        <v>-1206.427737</v>
      </c>
      <c r="I280" s="29">
        <v>0.0</v>
      </c>
      <c r="J280" s="28">
        <f t="shared" si="3"/>
        <v>-1206.427737</v>
      </c>
      <c r="K280" s="28">
        <f>1/(1+'Economic Inputs Parameters'!$B$5)^(A280)</f>
        <v>0.10214668</v>
      </c>
      <c r="L280" s="28">
        <f t="shared" si="4"/>
        <v>-123.232588</v>
      </c>
      <c r="M280" s="60">
        <f t="shared" si="6"/>
        <v>-5324278.844</v>
      </c>
    </row>
    <row r="281" ht="12.75" customHeight="1">
      <c r="A281" s="49">
        <f t="shared" si="5"/>
        <v>277</v>
      </c>
      <c r="B281" s="28">
        <f>DCA_Forecast_Model!G282</f>
        <v>451.568616</v>
      </c>
      <c r="C281" s="28">
        <f>DCA_Forecast_Model!H282</f>
        <v>5.812441962</v>
      </c>
      <c r="D281" s="29">
        <f>B281*'Economic Inputs Parameters'!$B$2</f>
        <v>1354.705848</v>
      </c>
      <c r="E281" s="29">
        <f>C281*'Economic Inputs Parameters'!$B$3</f>
        <v>406.8709373</v>
      </c>
      <c r="F281" s="29">
        <f t="shared" si="1"/>
        <v>1761.576785</v>
      </c>
      <c r="G281" s="28">
        <f>'Economic Inputs Parameters'!$B$4</f>
        <v>3000</v>
      </c>
      <c r="H281" s="28">
        <f t="shared" si="2"/>
        <v>-1238.423215</v>
      </c>
      <c r="I281" s="29">
        <v>0.0</v>
      </c>
      <c r="J281" s="28">
        <f t="shared" si="3"/>
        <v>-1238.423215</v>
      </c>
      <c r="K281" s="28">
        <f>1/(1+'Economic Inputs Parameters'!$B$5)^(A281)</f>
        <v>0.1013058416</v>
      </c>
      <c r="L281" s="28">
        <f t="shared" si="4"/>
        <v>-125.459506</v>
      </c>
      <c r="M281" s="60">
        <f t="shared" si="6"/>
        <v>-5324404.304</v>
      </c>
    </row>
    <row r="282" ht="12.75" customHeight="1">
      <c r="A282" s="49">
        <f t="shared" si="5"/>
        <v>278</v>
      </c>
      <c r="B282" s="28">
        <f>DCA_Forecast_Model!G283</f>
        <v>443.5130981</v>
      </c>
      <c r="C282" s="28">
        <f>DCA_Forecast_Model!H283</f>
        <v>5.708753998</v>
      </c>
      <c r="D282" s="29">
        <f>B282*'Economic Inputs Parameters'!$B$2</f>
        <v>1330.539294</v>
      </c>
      <c r="E282" s="29">
        <f>C282*'Economic Inputs Parameters'!$B$3</f>
        <v>399.6127799</v>
      </c>
      <c r="F282" s="29">
        <f t="shared" si="1"/>
        <v>1730.152074</v>
      </c>
      <c r="G282" s="28">
        <f>'Economic Inputs Parameters'!$B$4</f>
        <v>3000</v>
      </c>
      <c r="H282" s="28">
        <f t="shared" si="2"/>
        <v>-1269.847926</v>
      </c>
      <c r="I282" s="29">
        <v>0.0</v>
      </c>
      <c r="J282" s="28">
        <f t="shared" si="3"/>
        <v>-1269.847926</v>
      </c>
      <c r="K282" s="28">
        <f>1/(1+'Economic Inputs Parameters'!$B$5)^(A282)</f>
        <v>0.1004719246</v>
      </c>
      <c r="L282" s="28">
        <f t="shared" si="4"/>
        <v>-127.584065</v>
      </c>
      <c r="M282" s="60">
        <f t="shared" si="6"/>
        <v>-5324531.888</v>
      </c>
    </row>
    <row r="283" ht="12.75" customHeight="1">
      <c r="A283" s="49">
        <f t="shared" si="5"/>
        <v>279</v>
      </c>
      <c r="B283" s="28">
        <f>DCA_Forecast_Model!G284</f>
        <v>435.6012823</v>
      </c>
      <c r="C283" s="28">
        <f>DCA_Forecast_Model!H284</f>
        <v>5.60691572</v>
      </c>
      <c r="D283" s="29">
        <f>B283*'Economic Inputs Parameters'!$B$2</f>
        <v>1306.803847</v>
      </c>
      <c r="E283" s="29">
        <f>C283*'Economic Inputs Parameters'!$B$3</f>
        <v>392.4841004</v>
      </c>
      <c r="F283" s="29">
        <f t="shared" si="1"/>
        <v>1699.287947</v>
      </c>
      <c r="G283" s="28">
        <f>'Economic Inputs Parameters'!$B$4</f>
        <v>3000</v>
      </c>
      <c r="H283" s="28">
        <f t="shared" si="2"/>
        <v>-1300.712053</v>
      </c>
      <c r="I283" s="29">
        <v>0.0</v>
      </c>
      <c r="J283" s="28">
        <f t="shared" si="3"/>
        <v>-1300.712053</v>
      </c>
      <c r="K283" s="28">
        <f>1/(1+'Economic Inputs Parameters'!$B$5)^(A283)</f>
        <v>0.09964487214</v>
      </c>
      <c r="L283" s="28">
        <f t="shared" si="4"/>
        <v>-129.6092862</v>
      </c>
      <c r="M283" s="60">
        <f t="shared" si="6"/>
        <v>-5324661.497</v>
      </c>
    </row>
    <row r="284" ht="12.75" customHeight="1">
      <c r="A284" s="49">
        <f t="shared" si="5"/>
        <v>280</v>
      </c>
      <c r="B284" s="28">
        <f>DCA_Forecast_Model!G285</f>
        <v>427.8306051</v>
      </c>
      <c r="C284" s="28">
        <f>DCA_Forecast_Model!H285</f>
        <v>5.506894132</v>
      </c>
      <c r="D284" s="29">
        <f>B284*'Economic Inputs Parameters'!$B$2</f>
        <v>1283.491815</v>
      </c>
      <c r="E284" s="29">
        <f>C284*'Economic Inputs Parameters'!$B$3</f>
        <v>385.4825892</v>
      </c>
      <c r="F284" s="29">
        <f t="shared" si="1"/>
        <v>1668.974405</v>
      </c>
      <c r="G284" s="28">
        <f>'Economic Inputs Parameters'!$B$4</f>
        <v>3000</v>
      </c>
      <c r="H284" s="28">
        <f t="shared" si="2"/>
        <v>-1331.025595</v>
      </c>
      <c r="I284" s="29">
        <v>0.0</v>
      </c>
      <c r="J284" s="28">
        <f t="shared" si="3"/>
        <v>-1331.025595</v>
      </c>
      <c r="K284" s="28">
        <f>1/(1+'Economic Inputs Parameters'!$B$5)^(A284)</f>
        <v>0.09882462773</v>
      </c>
      <c r="L284" s="28">
        <f t="shared" si="4"/>
        <v>-131.538109</v>
      </c>
      <c r="M284" s="60">
        <f t="shared" si="6"/>
        <v>-5324793.035</v>
      </c>
    </row>
    <row r="285" ht="12.75" customHeight="1">
      <c r="A285" s="49">
        <f t="shared" si="5"/>
        <v>281</v>
      </c>
      <c r="B285" s="28">
        <f>DCA_Forecast_Model!G286</f>
        <v>420.1985488</v>
      </c>
      <c r="C285" s="28">
        <f>DCA_Forecast_Model!H286</f>
        <v>5.408656826</v>
      </c>
      <c r="D285" s="29">
        <f>B285*'Economic Inputs Parameters'!$B$2</f>
        <v>1260.595646</v>
      </c>
      <c r="E285" s="29">
        <f>C285*'Economic Inputs Parameters'!$B$3</f>
        <v>378.6059778</v>
      </c>
      <c r="F285" s="29">
        <f t="shared" si="1"/>
        <v>1639.201624</v>
      </c>
      <c r="G285" s="28">
        <f>'Economic Inputs Parameters'!$B$4</f>
        <v>3000</v>
      </c>
      <c r="H285" s="28">
        <f t="shared" si="2"/>
        <v>-1360.798376</v>
      </c>
      <c r="I285" s="29">
        <v>0.0</v>
      </c>
      <c r="J285" s="28">
        <f t="shared" si="3"/>
        <v>-1360.798376</v>
      </c>
      <c r="K285" s="28">
        <f>1/(1+'Economic Inputs Parameters'!$B$5)^(A285)</f>
        <v>0.09801113531</v>
      </c>
      <c r="L285" s="28">
        <f t="shared" si="4"/>
        <v>-133.3733937</v>
      </c>
      <c r="M285" s="60">
        <f t="shared" si="6"/>
        <v>-5324926.409</v>
      </c>
    </row>
    <row r="286" ht="12.75" customHeight="1">
      <c r="A286" s="49">
        <f t="shared" si="5"/>
        <v>282</v>
      </c>
      <c r="B286" s="28">
        <f>DCA_Forecast_Model!G287</f>
        <v>412.7026405</v>
      </c>
      <c r="C286" s="28">
        <f>DCA_Forecast_Model!H287</f>
        <v>5.312171972</v>
      </c>
      <c r="D286" s="29">
        <f>B286*'Economic Inputs Parameters'!$B$2</f>
        <v>1238.107921</v>
      </c>
      <c r="E286" s="29">
        <f>C286*'Economic Inputs Parameters'!$B$3</f>
        <v>371.852038</v>
      </c>
      <c r="F286" s="29">
        <f t="shared" si="1"/>
        <v>1609.959959</v>
      </c>
      <c r="G286" s="28">
        <f>'Economic Inputs Parameters'!$B$4</f>
        <v>3000</v>
      </c>
      <c r="H286" s="28">
        <f t="shared" si="2"/>
        <v>-1390.040041</v>
      </c>
      <c r="I286" s="29">
        <v>0.0</v>
      </c>
      <c r="J286" s="28">
        <f t="shared" si="3"/>
        <v>-1390.040041</v>
      </c>
      <c r="K286" s="28">
        <f>1/(1+'Economic Inputs Parameters'!$B$5)^(A286)</f>
        <v>0.09720433929</v>
      </c>
      <c r="L286" s="28">
        <f t="shared" si="4"/>
        <v>-135.1179237</v>
      </c>
      <c r="M286" s="60">
        <f t="shared" si="6"/>
        <v>-5325061.527</v>
      </c>
    </row>
    <row r="287" ht="12.75" customHeight="1">
      <c r="A287" s="49">
        <f t="shared" si="5"/>
        <v>283</v>
      </c>
      <c r="B287" s="28">
        <f>DCA_Forecast_Model!G288</f>
        <v>405.3404514</v>
      </c>
      <c r="C287" s="28">
        <f>DCA_Forecast_Model!H288</f>
        <v>5.217408308</v>
      </c>
      <c r="D287" s="29">
        <f>B287*'Economic Inputs Parameters'!$B$2</f>
        <v>1216.021354</v>
      </c>
      <c r="E287" s="29">
        <f>C287*'Economic Inputs Parameters'!$B$3</f>
        <v>365.2185815</v>
      </c>
      <c r="F287" s="29">
        <f t="shared" si="1"/>
        <v>1581.239936</v>
      </c>
      <c r="G287" s="28">
        <f>'Economic Inputs Parameters'!$B$4</f>
        <v>3000</v>
      </c>
      <c r="H287" s="28">
        <f t="shared" si="2"/>
        <v>-1418.760064</v>
      </c>
      <c r="I287" s="29">
        <v>0.0</v>
      </c>
      <c r="J287" s="28">
        <f t="shared" si="3"/>
        <v>-1418.760064</v>
      </c>
      <c r="K287" s="28">
        <f>1/(1+'Economic Inputs Parameters'!$B$5)^(A287)</f>
        <v>0.09640418456</v>
      </c>
      <c r="L287" s="28">
        <f t="shared" si="4"/>
        <v>-136.7744071</v>
      </c>
      <c r="M287" s="60">
        <f t="shared" si="6"/>
        <v>-5325198.301</v>
      </c>
    </row>
    <row r="288" ht="12.75" customHeight="1">
      <c r="A288" s="49">
        <f t="shared" si="5"/>
        <v>284</v>
      </c>
      <c r="B288" s="28">
        <f>DCA_Forecast_Model!G289</f>
        <v>398.1095962</v>
      </c>
      <c r="C288" s="28">
        <f>DCA_Forecast_Model!H289</f>
        <v>5.12433513</v>
      </c>
      <c r="D288" s="29">
        <f>B288*'Economic Inputs Parameters'!$B$2</f>
        <v>1194.328789</v>
      </c>
      <c r="E288" s="29">
        <f>C288*'Economic Inputs Parameters'!$B$3</f>
        <v>358.7034591</v>
      </c>
      <c r="F288" s="29">
        <f t="shared" si="1"/>
        <v>1553.032248</v>
      </c>
      <c r="G288" s="28">
        <f>'Economic Inputs Parameters'!$B$4</f>
        <v>3000</v>
      </c>
      <c r="H288" s="28">
        <f t="shared" si="2"/>
        <v>-1446.967752</v>
      </c>
      <c r="I288" s="29">
        <v>0.0</v>
      </c>
      <c r="J288" s="28">
        <f t="shared" si="3"/>
        <v>-1446.967752</v>
      </c>
      <c r="K288" s="28">
        <f>1/(1+'Economic Inputs Parameters'!$B$5)^(A288)</f>
        <v>0.09561061644</v>
      </c>
      <c r="L288" s="28">
        <f t="shared" si="4"/>
        <v>-138.3454788</v>
      </c>
      <c r="M288" s="60">
        <f t="shared" si="6"/>
        <v>-5325336.646</v>
      </c>
    </row>
    <row r="289" ht="12.75" customHeight="1">
      <c r="A289" s="49">
        <f t="shared" si="5"/>
        <v>285</v>
      </c>
      <c r="B289" s="28">
        <f>DCA_Forecast_Model!G290</f>
        <v>391.007732</v>
      </c>
      <c r="C289" s="28">
        <f>DCA_Forecast_Model!H290</f>
        <v>5.032922281</v>
      </c>
      <c r="D289" s="29">
        <f>B289*'Economic Inputs Parameters'!$B$2</f>
        <v>1173.023196</v>
      </c>
      <c r="E289" s="29">
        <f>C289*'Economic Inputs Parameters'!$B$3</f>
        <v>352.3045597</v>
      </c>
      <c r="F289" s="29">
        <f t="shared" si="1"/>
        <v>1525.327756</v>
      </c>
      <c r="G289" s="28">
        <f>'Economic Inputs Parameters'!$B$4</f>
        <v>3000</v>
      </c>
      <c r="H289" s="28">
        <f t="shared" si="2"/>
        <v>-1474.672244</v>
      </c>
      <c r="I289" s="29">
        <v>0.0</v>
      </c>
      <c r="J289" s="28">
        <f t="shared" si="3"/>
        <v>-1474.672244</v>
      </c>
      <c r="K289" s="28">
        <f>1/(1+'Economic Inputs Parameters'!$B$5)^(A289)</f>
        <v>0.09482358072</v>
      </c>
      <c r="L289" s="28">
        <f t="shared" si="4"/>
        <v>-139.8337026</v>
      </c>
      <c r="M289" s="60">
        <f t="shared" si="6"/>
        <v>-5325476.48</v>
      </c>
    </row>
    <row r="290" ht="12.75" customHeight="1">
      <c r="A290" s="49">
        <f t="shared" si="5"/>
        <v>286</v>
      </c>
      <c r="B290" s="28">
        <f>DCA_Forecast_Model!G291</f>
        <v>384.0325577</v>
      </c>
      <c r="C290" s="28">
        <f>DCA_Forecast_Model!H291</f>
        <v>4.943140143</v>
      </c>
      <c r="D290" s="29">
        <f>B290*'Economic Inputs Parameters'!$B$2</f>
        <v>1152.097673</v>
      </c>
      <c r="E290" s="29">
        <f>C290*'Economic Inputs Parameters'!$B$3</f>
        <v>346.01981</v>
      </c>
      <c r="F290" s="29">
        <f t="shared" si="1"/>
        <v>1498.117483</v>
      </c>
      <c r="G290" s="28">
        <f>'Economic Inputs Parameters'!$B$4</f>
        <v>3000</v>
      </c>
      <c r="H290" s="28">
        <f t="shared" si="2"/>
        <v>-1501.882517</v>
      </c>
      <c r="I290" s="29">
        <v>0.0</v>
      </c>
      <c r="J290" s="28">
        <f t="shared" si="3"/>
        <v>-1501.882517</v>
      </c>
      <c r="K290" s="28">
        <f>1/(1+'Economic Inputs Parameters'!$B$5)^(A290)</f>
        <v>0.09404302363</v>
      </c>
      <c r="L290" s="28">
        <f t="shared" si="4"/>
        <v>-141.241573</v>
      </c>
      <c r="M290" s="60">
        <f t="shared" si="6"/>
        <v>-5325617.722</v>
      </c>
    </row>
    <row r="291" ht="12.75" customHeight="1">
      <c r="A291" s="49">
        <f t="shared" si="5"/>
        <v>287</v>
      </c>
      <c r="B291" s="28">
        <f>DCA_Forecast_Model!G292</f>
        <v>377.1818134</v>
      </c>
      <c r="C291" s="28">
        <f>DCA_Forecast_Model!H292</f>
        <v>4.854959626</v>
      </c>
      <c r="D291" s="29">
        <f>B291*'Economic Inputs Parameters'!$B$2</f>
        <v>1131.54544</v>
      </c>
      <c r="E291" s="29">
        <f>C291*'Economic Inputs Parameters'!$B$3</f>
        <v>339.8471738</v>
      </c>
      <c r="F291" s="29">
        <f t="shared" si="1"/>
        <v>1471.392614</v>
      </c>
      <c r="G291" s="28">
        <f>'Economic Inputs Parameters'!$B$4</f>
        <v>3000</v>
      </c>
      <c r="H291" s="28">
        <f t="shared" si="2"/>
        <v>-1528.607386</v>
      </c>
      <c r="I291" s="29">
        <v>0.0</v>
      </c>
      <c r="J291" s="28">
        <f t="shared" si="3"/>
        <v>-1528.607386</v>
      </c>
      <c r="K291" s="28">
        <f>1/(1+'Economic Inputs Parameters'!$B$5)^(A291)</f>
        <v>0.09326889182</v>
      </c>
      <c r="L291" s="28">
        <f t="shared" si="4"/>
        <v>-142.5715169</v>
      </c>
      <c r="M291" s="60">
        <f t="shared" si="6"/>
        <v>-5325760.293</v>
      </c>
    </row>
    <row r="292" ht="12.75" customHeight="1">
      <c r="A292" s="49">
        <f t="shared" si="5"/>
        <v>288</v>
      </c>
      <c r="B292" s="28">
        <f>DCA_Forecast_Model!G293</f>
        <v>370.4532792</v>
      </c>
      <c r="C292" s="28">
        <f>DCA_Forecast_Model!H293</f>
        <v>4.768352159</v>
      </c>
      <c r="D292" s="29">
        <f>B292*'Economic Inputs Parameters'!$B$2</f>
        <v>1111.359838</v>
      </c>
      <c r="E292" s="29">
        <f>C292*'Economic Inputs Parameters'!$B$3</f>
        <v>333.7846511</v>
      </c>
      <c r="F292" s="29">
        <f t="shared" si="1"/>
        <v>1445.144489</v>
      </c>
      <c r="G292" s="28">
        <f>'Economic Inputs Parameters'!$B$4</f>
        <v>3000</v>
      </c>
      <c r="H292" s="28">
        <f t="shared" si="2"/>
        <v>-1554.855511</v>
      </c>
      <c r="I292" s="29">
        <v>0.0</v>
      </c>
      <c r="J292" s="28">
        <f t="shared" si="3"/>
        <v>-1554.855511</v>
      </c>
      <c r="K292" s="28">
        <f>1/(1+'Economic Inputs Parameters'!$B$5)^(A292)</f>
        <v>0.09250113243</v>
      </c>
      <c r="L292" s="28">
        <f t="shared" si="4"/>
        <v>-143.8258955</v>
      </c>
      <c r="M292" s="60">
        <f t="shared" si="6"/>
        <v>-5325904.119</v>
      </c>
    </row>
    <row r="293" ht="12.75" customHeight="1">
      <c r="A293" s="49">
        <f t="shared" si="5"/>
        <v>289</v>
      </c>
      <c r="B293" s="28">
        <f>DCA_Forecast_Model!G294</f>
        <v>363.8447751</v>
      </c>
      <c r="C293" s="28">
        <f>DCA_Forecast_Model!H294</f>
        <v>4.683289679</v>
      </c>
      <c r="D293" s="29">
        <f>B293*'Economic Inputs Parameters'!$B$2</f>
        <v>1091.534325</v>
      </c>
      <c r="E293" s="29">
        <f>C293*'Economic Inputs Parameters'!$B$3</f>
        <v>327.8302775</v>
      </c>
      <c r="F293" s="29">
        <f t="shared" si="1"/>
        <v>1419.364603</v>
      </c>
      <c r="G293" s="28">
        <f>'Economic Inputs Parameters'!$B$4</f>
        <v>3000</v>
      </c>
      <c r="H293" s="28">
        <f t="shared" si="2"/>
        <v>-1580.635397</v>
      </c>
      <c r="I293" s="29">
        <v>0.0</v>
      </c>
      <c r="J293" s="28">
        <f t="shared" si="3"/>
        <v>-1580.635397</v>
      </c>
      <c r="K293" s="28">
        <f>1/(1+'Economic Inputs Parameters'!$B$5)^(A293)</f>
        <v>0.09173969297</v>
      </c>
      <c r="L293" s="28">
        <f t="shared" si="4"/>
        <v>-145.007006</v>
      </c>
      <c r="M293" s="60">
        <f t="shared" si="6"/>
        <v>-5326049.126</v>
      </c>
    </row>
    <row r="294" ht="12.75" customHeight="1">
      <c r="A294" s="49">
        <f t="shared" si="5"/>
        <v>290</v>
      </c>
      <c r="B294" s="28">
        <f>DCA_Forecast_Model!G295</f>
        <v>357.35416</v>
      </c>
      <c r="C294" s="28">
        <f>DCA_Forecast_Model!H295</f>
        <v>4.599744626</v>
      </c>
      <c r="D294" s="29">
        <f>B294*'Economic Inputs Parameters'!$B$2</f>
        <v>1072.06248</v>
      </c>
      <c r="E294" s="29">
        <f>C294*'Economic Inputs Parameters'!$B$3</f>
        <v>321.9821238</v>
      </c>
      <c r="F294" s="29">
        <f t="shared" si="1"/>
        <v>1394.044604</v>
      </c>
      <c r="G294" s="28">
        <f>'Economic Inputs Parameters'!$B$4</f>
        <v>3000</v>
      </c>
      <c r="H294" s="28">
        <f t="shared" si="2"/>
        <v>-1605.955396</v>
      </c>
      <c r="I294" s="29">
        <v>0.0</v>
      </c>
      <c r="J294" s="28">
        <f t="shared" si="3"/>
        <v>-1605.955396</v>
      </c>
      <c r="K294" s="28">
        <f>1/(1+'Economic Inputs Parameters'!$B$5)^(A294)</f>
        <v>0.09098452145</v>
      </c>
      <c r="L294" s="28">
        <f t="shared" si="4"/>
        <v>-146.1170832</v>
      </c>
      <c r="M294" s="60">
        <f t="shared" si="6"/>
        <v>-5326195.243</v>
      </c>
    </row>
    <row r="295" ht="12.75" customHeight="1">
      <c r="A295" s="49">
        <f t="shared" si="5"/>
        <v>291</v>
      </c>
      <c r="B295" s="28">
        <f>DCA_Forecast_Model!G296</f>
        <v>350.9793307</v>
      </c>
      <c r="C295" s="28">
        <f>DCA_Forecast_Model!H296</f>
        <v>4.51768993</v>
      </c>
      <c r="D295" s="29">
        <f>B295*'Economic Inputs Parameters'!$B$2</f>
        <v>1052.937992</v>
      </c>
      <c r="E295" s="29">
        <f>C295*'Economic Inputs Parameters'!$B$3</f>
        <v>316.2382951</v>
      </c>
      <c r="F295" s="29">
        <f t="shared" si="1"/>
        <v>1369.176287</v>
      </c>
      <c r="G295" s="28">
        <f>'Economic Inputs Parameters'!$B$4</f>
        <v>3000</v>
      </c>
      <c r="H295" s="28">
        <f t="shared" si="2"/>
        <v>-1630.823713</v>
      </c>
      <c r="I295" s="29">
        <v>0.0</v>
      </c>
      <c r="J295" s="28">
        <f t="shared" si="3"/>
        <v>-1630.823713</v>
      </c>
      <c r="K295" s="28">
        <f>1/(1+'Economic Inputs Parameters'!$B$5)^(A295)</f>
        <v>0.09023556625</v>
      </c>
      <c r="L295" s="28">
        <f t="shared" si="4"/>
        <v>-147.1583012</v>
      </c>
      <c r="M295" s="60">
        <f t="shared" si="6"/>
        <v>-5326342.402</v>
      </c>
    </row>
    <row r="296" ht="12.75" customHeight="1">
      <c r="A296" s="49">
        <f t="shared" si="5"/>
        <v>292</v>
      </c>
      <c r="B296" s="28">
        <f>DCA_Forecast_Model!G297</f>
        <v>344.7182218</v>
      </c>
      <c r="C296" s="28">
        <f>DCA_Forecast_Model!H297</f>
        <v>4.437099006</v>
      </c>
      <c r="D296" s="29">
        <f>B296*'Economic Inputs Parameters'!$B$2</f>
        <v>1034.154665</v>
      </c>
      <c r="E296" s="29">
        <f>C296*'Economic Inputs Parameters'!$B$3</f>
        <v>310.5969304</v>
      </c>
      <c r="F296" s="29">
        <f t="shared" si="1"/>
        <v>1344.751596</v>
      </c>
      <c r="G296" s="28">
        <f>'Economic Inputs Parameters'!$B$4</f>
        <v>3000</v>
      </c>
      <c r="H296" s="28">
        <f t="shared" si="2"/>
        <v>-1655.248404</v>
      </c>
      <c r="I296" s="29">
        <v>0.0</v>
      </c>
      <c r="J296" s="28">
        <f t="shared" si="3"/>
        <v>-1655.248404</v>
      </c>
      <c r="K296" s="28">
        <f>1/(1+'Economic Inputs Parameters'!$B$5)^(A296)</f>
        <v>0.0894927762</v>
      </c>
      <c r="L296" s="28">
        <f t="shared" si="4"/>
        <v>-148.132775</v>
      </c>
      <c r="M296" s="60">
        <f t="shared" si="6"/>
        <v>-5326490.534</v>
      </c>
    </row>
    <row r="297" ht="12.75" customHeight="1">
      <c r="A297" s="49">
        <f t="shared" si="5"/>
        <v>293</v>
      </c>
      <c r="B297" s="28">
        <f>DCA_Forecast_Model!G298</f>
        <v>338.5688046</v>
      </c>
      <c r="C297" s="28">
        <f>DCA_Forecast_Model!H298</f>
        <v>4.35794574</v>
      </c>
      <c r="D297" s="29">
        <f>B297*'Economic Inputs Parameters'!$B$2</f>
        <v>1015.706414</v>
      </c>
      <c r="E297" s="29">
        <f>C297*'Economic Inputs Parameters'!$B$3</f>
        <v>305.0562018</v>
      </c>
      <c r="F297" s="29">
        <f t="shared" si="1"/>
        <v>1320.762615</v>
      </c>
      <c r="G297" s="28">
        <f>'Economic Inputs Parameters'!$B$4</f>
        <v>3000</v>
      </c>
      <c r="H297" s="28">
        <f t="shared" si="2"/>
        <v>-1679.237385</v>
      </c>
      <c r="I297" s="29">
        <v>0.0</v>
      </c>
      <c r="J297" s="28">
        <f t="shared" si="3"/>
        <v>-1679.237385</v>
      </c>
      <c r="K297" s="28">
        <f>1/(1+'Economic Inputs Parameters'!$B$5)^(A297)</f>
        <v>0.08875610057</v>
      </c>
      <c r="L297" s="28">
        <f t="shared" si="4"/>
        <v>-149.0425622</v>
      </c>
      <c r="M297" s="60">
        <f t="shared" si="6"/>
        <v>-5326639.577</v>
      </c>
    </row>
    <row r="298" ht="12.75" customHeight="1">
      <c r="A298" s="49">
        <f t="shared" si="5"/>
        <v>294</v>
      </c>
      <c r="B298" s="28">
        <f>DCA_Forecast_Model!G299</f>
        <v>332.5290866</v>
      </c>
      <c r="C298" s="28">
        <f>DCA_Forecast_Model!H299</f>
        <v>4.280204487</v>
      </c>
      <c r="D298" s="29">
        <f>B298*'Economic Inputs Parameters'!$B$2</f>
        <v>997.5872598</v>
      </c>
      <c r="E298" s="29">
        <f>C298*'Economic Inputs Parameters'!$B$3</f>
        <v>299.6143141</v>
      </c>
      <c r="F298" s="29">
        <f t="shared" si="1"/>
        <v>1297.201574</v>
      </c>
      <c r="G298" s="28">
        <f>'Economic Inputs Parameters'!$B$4</f>
        <v>3000</v>
      </c>
      <c r="H298" s="28">
        <f t="shared" si="2"/>
        <v>-1702.798426</v>
      </c>
      <c r="I298" s="29">
        <v>0.0</v>
      </c>
      <c r="J298" s="28">
        <f t="shared" si="3"/>
        <v>-1702.798426</v>
      </c>
      <c r="K298" s="28">
        <f>1/(1+'Economic Inputs Parameters'!$B$5)^(A298)</f>
        <v>0.08802548901</v>
      </c>
      <c r="L298" s="28">
        <f t="shared" si="4"/>
        <v>-149.8896641</v>
      </c>
      <c r="M298" s="60">
        <f t="shared" si="6"/>
        <v>-5326789.467</v>
      </c>
    </row>
    <row r="299" ht="12.75" customHeight="1">
      <c r="A299" s="49">
        <f t="shared" si="5"/>
        <v>295</v>
      </c>
      <c r="B299" s="28">
        <f>DCA_Forecast_Model!G300</f>
        <v>326.597111</v>
      </c>
      <c r="C299" s="28">
        <f>DCA_Forecast_Model!H300</f>
        <v>4.203850058</v>
      </c>
      <c r="D299" s="29">
        <f>B299*'Economic Inputs Parameters'!$B$2</f>
        <v>979.791333</v>
      </c>
      <c r="E299" s="29">
        <f>C299*'Economic Inputs Parameters'!$B$3</f>
        <v>294.269504</v>
      </c>
      <c r="F299" s="29">
        <f t="shared" si="1"/>
        <v>1274.060837</v>
      </c>
      <c r="G299" s="28">
        <f>'Economic Inputs Parameters'!$B$4</f>
        <v>3000</v>
      </c>
      <c r="H299" s="28">
        <f t="shared" si="2"/>
        <v>-1725.939163</v>
      </c>
      <c r="I299" s="29">
        <v>0.0</v>
      </c>
      <c r="J299" s="28">
        <f t="shared" si="3"/>
        <v>-1725.939163</v>
      </c>
      <c r="K299" s="28">
        <f>1/(1+'Economic Inputs Parameters'!$B$5)^(A299)</f>
        <v>0.08730089161</v>
      </c>
      <c r="L299" s="28">
        <f t="shared" si="4"/>
        <v>-150.6760278</v>
      </c>
      <c r="M299" s="60">
        <f t="shared" si="6"/>
        <v>-5326940.143</v>
      </c>
    </row>
    <row r="300" ht="12.75" customHeight="1">
      <c r="A300" s="49">
        <f t="shared" si="5"/>
        <v>296</v>
      </c>
      <c r="B300" s="28">
        <f>DCA_Forecast_Model!G301</f>
        <v>320.7709557</v>
      </c>
      <c r="C300" s="28">
        <f>DCA_Forecast_Model!H301</f>
        <v>4.128857713</v>
      </c>
      <c r="D300" s="29">
        <f>B300*'Economic Inputs Parameters'!$B$2</f>
        <v>962.3128671</v>
      </c>
      <c r="E300" s="29">
        <f>C300*'Economic Inputs Parameters'!$B$3</f>
        <v>289.0200399</v>
      </c>
      <c r="F300" s="29">
        <f t="shared" si="1"/>
        <v>1251.332907</v>
      </c>
      <c r="G300" s="28">
        <f>'Economic Inputs Parameters'!$B$4</f>
        <v>3000</v>
      </c>
      <c r="H300" s="28">
        <f t="shared" si="2"/>
        <v>-1748.667093</v>
      </c>
      <c r="I300" s="29">
        <v>0.0</v>
      </c>
      <c r="J300" s="28">
        <f t="shared" si="3"/>
        <v>-1748.667093</v>
      </c>
      <c r="K300" s="28">
        <f>1/(1+'Economic Inputs Parameters'!$B$5)^(A300)</f>
        <v>0.08658225886</v>
      </c>
      <c r="L300" s="28">
        <f t="shared" si="4"/>
        <v>-151.4035469</v>
      </c>
      <c r="M300" s="60">
        <f t="shared" si="6"/>
        <v>-5327091.546</v>
      </c>
    </row>
    <row r="301" ht="12.75" customHeight="1">
      <c r="A301" s="49">
        <f t="shared" si="5"/>
        <v>297</v>
      </c>
      <c r="B301" s="28">
        <f>DCA_Forecast_Model!G302</f>
        <v>315.048733</v>
      </c>
      <c r="C301" s="28">
        <f>DCA_Forecast_Model!H302</f>
        <v>4.055203154</v>
      </c>
      <c r="D301" s="29">
        <f>B301*'Economic Inputs Parameters'!$B$2</f>
        <v>945.146199</v>
      </c>
      <c r="E301" s="29">
        <f>C301*'Economic Inputs Parameters'!$B$3</f>
        <v>283.8642207</v>
      </c>
      <c r="F301" s="29">
        <f t="shared" si="1"/>
        <v>1229.01042</v>
      </c>
      <c r="G301" s="28">
        <f>'Economic Inputs Parameters'!$B$4</f>
        <v>3000</v>
      </c>
      <c r="H301" s="28">
        <f t="shared" si="2"/>
        <v>-1770.98958</v>
      </c>
      <c r="I301" s="29">
        <v>0.0</v>
      </c>
      <c r="J301" s="28">
        <f t="shared" si="3"/>
        <v>-1770.98958</v>
      </c>
      <c r="K301" s="28">
        <f>1/(1+'Economic Inputs Parameters'!$B$5)^(A301)</f>
        <v>0.08586954166</v>
      </c>
      <c r="L301" s="28">
        <f t="shared" si="4"/>
        <v>-152.0740636</v>
      </c>
      <c r="M301" s="60">
        <f t="shared" si="6"/>
        <v>-5327243.62</v>
      </c>
    </row>
    <row r="302" ht="12.75" customHeight="1">
      <c r="A302" s="49">
        <f t="shared" si="5"/>
        <v>298</v>
      </c>
      <c r="B302" s="28">
        <f>DCA_Forecast_Model!G303</f>
        <v>309.4285888</v>
      </c>
      <c r="C302" s="28">
        <f>DCA_Forecast_Model!H303</f>
        <v>3.982862516</v>
      </c>
      <c r="D302" s="29">
        <f>B302*'Economic Inputs Parameters'!$B$2</f>
        <v>928.2857665</v>
      </c>
      <c r="E302" s="29">
        <f>C302*'Economic Inputs Parameters'!$B$3</f>
        <v>278.8003761</v>
      </c>
      <c r="F302" s="29">
        <f t="shared" si="1"/>
        <v>1207.086143</v>
      </c>
      <c r="G302" s="28">
        <f>'Economic Inputs Parameters'!$B$4</f>
        <v>3000</v>
      </c>
      <c r="H302" s="28">
        <f t="shared" si="2"/>
        <v>-1792.913857</v>
      </c>
      <c r="I302" s="29">
        <v>0.0</v>
      </c>
      <c r="J302" s="28">
        <f t="shared" si="3"/>
        <v>-1792.913857</v>
      </c>
      <c r="K302" s="28">
        <f>1/(1+'Economic Inputs Parameters'!$B$5)^(A302)</f>
        <v>0.08516269133</v>
      </c>
      <c r="L302" s="28">
        <f t="shared" si="4"/>
        <v>-152.6893694</v>
      </c>
      <c r="M302" s="60">
        <f t="shared" si="6"/>
        <v>-5327396.31</v>
      </c>
    </row>
    <row r="303" ht="12.75" customHeight="1">
      <c r="A303" s="49">
        <f t="shared" si="5"/>
        <v>299</v>
      </c>
      <c r="B303" s="28">
        <f>DCA_Forecast_Model!G304</f>
        <v>303.9087023</v>
      </c>
      <c r="C303" s="28">
        <f>DCA_Forecast_Model!H304</f>
        <v>3.91181236</v>
      </c>
      <c r="D303" s="29">
        <f>B303*'Economic Inputs Parameters'!$B$2</f>
        <v>911.7261068</v>
      </c>
      <c r="E303" s="29">
        <f>C303*'Economic Inputs Parameters'!$B$3</f>
        <v>273.8268652</v>
      </c>
      <c r="F303" s="29">
        <f t="shared" si="1"/>
        <v>1185.552972</v>
      </c>
      <c r="G303" s="28">
        <f>'Economic Inputs Parameters'!$B$4</f>
        <v>3000</v>
      </c>
      <c r="H303" s="28">
        <f t="shared" si="2"/>
        <v>-1814.447028</v>
      </c>
      <c r="I303" s="29">
        <v>0.0</v>
      </c>
      <c r="J303" s="28">
        <f t="shared" si="3"/>
        <v>-1814.447028</v>
      </c>
      <c r="K303" s="28">
        <f>1/(1+'Economic Inputs Parameters'!$B$5)^(A303)</f>
        <v>0.08446165955</v>
      </c>
      <c r="L303" s="28">
        <f t="shared" si="4"/>
        <v>-153.2512072</v>
      </c>
      <c r="M303" s="60">
        <f t="shared" si="6"/>
        <v>-5327549.561</v>
      </c>
    </row>
    <row r="304" ht="12.75" customHeight="1">
      <c r="A304" s="49">
        <f t="shared" si="5"/>
        <v>300</v>
      </c>
      <c r="B304" s="28">
        <f>DCA_Forecast_Model!G305</f>
        <v>298.4872848</v>
      </c>
      <c r="C304" s="28">
        <f>DCA_Forecast_Model!H305</f>
        <v>3.842029666</v>
      </c>
      <c r="D304" s="29">
        <f>B304*'Economic Inputs Parameters'!$B$2</f>
        <v>895.4618543</v>
      </c>
      <c r="E304" s="29">
        <f>C304*'Economic Inputs Parameters'!$B$3</f>
        <v>268.9420766</v>
      </c>
      <c r="F304" s="29">
        <f t="shared" si="1"/>
        <v>1164.403931</v>
      </c>
      <c r="G304" s="28">
        <f>'Economic Inputs Parameters'!$B$4</f>
        <v>3000</v>
      </c>
      <c r="H304" s="28">
        <f t="shared" si="2"/>
        <v>-1835.596069</v>
      </c>
      <c r="I304" s="29">
        <v>0.0</v>
      </c>
      <c r="J304" s="28">
        <f t="shared" si="3"/>
        <v>-1835.596069</v>
      </c>
      <c r="K304" s="28">
        <f>1/(1+'Economic Inputs Parameters'!$B$5)^(A304)</f>
        <v>0.08376639845</v>
      </c>
      <c r="L304" s="28">
        <f t="shared" si="4"/>
        <v>-153.7612717</v>
      </c>
      <c r="M304" s="60">
        <f t="shared" si="6"/>
        <v>-5327703.322</v>
      </c>
    </row>
    <row r="305" ht="12.75" customHeight="1">
      <c r="A305" s="49">
        <f t="shared" si="5"/>
        <v>301</v>
      </c>
      <c r="B305" s="28">
        <f>DCA_Forecast_Model!G306</f>
        <v>293.1625797</v>
      </c>
      <c r="C305" s="28">
        <f>DCA_Forecast_Model!H306</f>
        <v>3.773491823</v>
      </c>
      <c r="D305" s="29">
        <f>B305*'Economic Inputs Parameters'!$B$2</f>
        <v>879.4877392</v>
      </c>
      <c r="E305" s="29">
        <f>C305*'Economic Inputs Parameters'!$B$3</f>
        <v>264.1444276</v>
      </c>
      <c r="F305" s="29">
        <f t="shared" si="1"/>
        <v>1143.632167</v>
      </c>
      <c r="G305" s="28">
        <f>'Economic Inputs Parameters'!$B$4</f>
        <v>3000</v>
      </c>
      <c r="H305" s="28">
        <f t="shared" si="2"/>
        <v>-1856.367833</v>
      </c>
      <c r="I305" s="29">
        <v>0.0</v>
      </c>
      <c r="J305" s="28">
        <f t="shared" si="3"/>
        <v>-1856.367833</v>
      </c>
      <c r="K305" s="28">
        <f>1/(1+'Economic Inputs Parameters'!$B$5)^(A305)</f>
        <v>0.0830768605</v>
      </c>
      <c r="L305" s="28">
        <f t="shared" si="4"/>
        <v>-154.2212115</v>
      </c>
      <c r="M305" s="60">
        <f t="shared" si="6"/>
        <v>-5327857.543</v>
      </c>
    </row>
    <row r="306" ht="12.75" customHeight="1">
      <c r="A306" s="49">
        <f t="shared" si="5"/>
        <v>302</v>
      </c>
      <c r="B306" s="28">
        <f>DCA_Forecast_Model!G307</f>
        <v>287.932862</v>
      </c>
      <c r="C306" s="28">
        <f>DCA_Forecast_Model!H307</f>
        <v>3.706176625</v>
      </c>
      <c r="D306" s="29">
        <f>B306*'Economic Inputs Parameters'!$B$2</f>
        <v>863.7985859</v>
      </c>
      <c r="E306" s="29">
        <f>C306*'Economic Inputs Parameters'!$B$3</f>
        <v>259.4323637</v>
      </c>
      <c r="F306" s="29">
        <f t="shared" si="1"/>
        <v>1123.23095</v>
      </c>
      <c r="G306" s="28">
        <f>'Economic Inputs Parameters'!$B$4</f>
        <v>3000</v>
      </c>
      <c r="H306" s="28">
        <f t="shared" si="2"/>
        <v>-1876.76905</v>
      </c>
      <c r="I306" s="29">
        <v>0.0</v>
      </c>
      <c r="J306" s="28">
        <f t="shared" si="3"/>
        <v>-1876.76905</v>
      </c>
      <c r="K306" s="28">
        <f>1/(1+'Economic Inputs Parameters'!$B$5)^(A306)</f>
        <v>0.08239299861</v>
      </c>
      <c r="L306" s="28">
        <f t="shared" si="4"/>
        <v>-154.6326298</v>
      </c>
      <c r="M306" s="60">
        <f t="shared" si="6"/>
        <v>-5328012.176</v>
      </c>
    </row>
    <row r="307" ht="12.75" customHeight="1">
      <c r="A307" s="49">
        <f t="shared" si="5"/>
        <v>303</v>
      </c>
      <c r="B307" s="28">
        <f>DCA_Forecast_Model!G308</f>
        <v>282.796437</v>
      </c>
      <c r="C307" s="28">
        <f>DCA_Forecast_Model!H308</f>
        <v>3.64006226</v>
      </c>
      <c r="D307" s="29">
        <f>B307*'Economic Inputs Parameters'!$B$2</f>
        <v>848.3893109</v>
      </c>
      <c r="E307" s="29">
        <f>C307*'Economic Inputs Parameters'!$B$3</f>
        <v>254.8043582</v>
      </c>
      <c r="F307" s="29">
        <f t="shared" si="1"/>
        <v>1103.193669</v>
      </c>
      <c r="G307" s="28">
        <f>'Economic Inputs Parameters'!$B$4</f>
        <v>3000</v>
      </c>
      <c r="H307" s="28">
        <f t="shared" si="2"/>
        <v>-1896.806331</v>
      </c>
      <c r="I307" s="29">
        <v>0.0</v>
      </c>
      <c r="J307" s="28">
        <f t="shared" si="3"/>
        <v>-1896.806331</v>
      </c>
      <c r="K307" s="28">
        <f>1/(1+'Economic Inputs Parameters'!$B$5)^(A307)</f>
        <v>0.08171476606</v>
      </c>
      <c r="L307" s="28">
        <f t="shared" si="4"/>
        <v>-154.9970856</v>
      </c>
      <c r="M307" s="60">
        <f t="shared" si="6"/>
        <v>-5328167.173</v>
      </c>
    </row>
    <row r="308" ht="12.75" customHeight="1">
      <c r="A308" s="49">
        <f t="shared" si="5"/>
        <v>304</v>
      </c>
      <c r="B308" s="28">
        <f>DCA_Forecast_Model!G309</f>
        <v>277.7516405</v>
      </c>
      <c r="C308" s="28">
        <f>DCA_Forecast_Model!H309</f>
        <v>3.575127307</v>
      </c>
      <c r="D308" s="29">
        <f>B308*'Economic Inputs Parameters'!$B$2</f>
        <v>833.2549214</v>
      </c>
      <c r="E308" s="29">
        <f>C308*'Economic Inputs Parameters'!$B$3</f>
        <v>250.2589115</v>
      </c>
      <c r="F308" s="29">
        <f t="shared" si="1"/>
        <v>1083.513833</v>
      </c>
      <c r="G308" s="28">
        <f>'Economic Inputs Parameters'!$B$4</f>
        <v>3000</v>
      </c>
      <c r="H308" s="28">
        <f t="shared" si="2"/>
        <v>-1916.486167</v>
      </c>
      <c r="I308" s="29">
        <v>0.0</v>
      </c>
      <c r="J308" s="28">
        <f t="shared" si="3"/>
        <v>-1916.486167</v>
      </c>
      <c r="K308" s="28">
        <f>1/(1+'Economic Inputs Parameters'!$B$5)^(A308)</f>
        <v>0.08104211649</v>
      </c>
      <c r="L308" s="28">
        <f t="shared" si="4"/>
        <v>-155.3160952</v>
      </c>
      <c r="M308" s="60">
        <f t="shared" si="6"/>
        <v>-5328322.489</v>
      </c>
    </row>
    <row r="309" ht="12.75" customHeight="1">
      <c r="A309" s="49">
        <f t="shared" si="5"/>
        <v>305</v>
      </c>
      <c r="B309" s="28">
        <f>DCA_Forecast_Model!G310</f>
        <v>272.7968379</v>
      </c>
      <c r="C309" s="28">
        <f>DCA_Forecast_Model!H310</f>
        <v>3.511350727</v>
      </c>
      <c r="D309" s="29">
        <f>B309*'Economic Inputs Parameters'!$B$2</f>
        <v>818.3905138</v>
      </c>
      <c r="E309" s="29">
        <f>C309*'Economic Inputs Parameters'!$B$3</f>
        <v>245.7945509</v>
      </c>
      <c r="F309" s="29">
        <f t="shared" si="1"/>
        <v>1064.185065</v>
      </c>
      <c r="G309" s="28">
        <f>'Economic Inputs Parameters'!$B$4</f>
        <v>3000</v>
      </c>
      <c r="H309" s="28">
        <f t="shared" si="2"/>
        <v>-1935.814935</v>
      </c>
      <c r="I309" s="29">
        <v>0.0</v>
      </c>
      <c r="J309" s="28">
        <f t="shared" si="3"/>
        <v>-1935.814935</v>
      </c>
      <c r="K309" s="28">
        <f>1/(1+'Economic Inputs Parameters'!$B$5)^(A309)</f>
        <v>0.08037500396</v>
      </c>
      <c r="L309" s="28">
        <f t="shared" si="4"/>
        <v>-155.5911331</v>
      </c>
      <c r="M309" s="60">
        <f t="shared" si="6"/>
        <v>-5328478.08</v>
      </c>
    </row>
    <row r="310" ht="12.75" customHeight="1">
      <c r="A310" s="49">
        <f t="shared" si="5"/>
        <v>306</v>
      </c>
      <c r="B310" s="28">
        <f>DCA_Forecast_Model!G311</f>
        <v>267.930424</v>
      </c>
      <c r="C310" s="28">
        <f>DCA_Forecast_Model!H311</f>
        <v>3.448711855</v>
      </c>
      <c r="D310" s="29">
        <f>B310*'Economic Inputs Parameters'!$B$2</f>
        <v>803.7912719</v>
      </c>
      <c r="E310" s="29">
        <f>C310*'Economic Inputs Parameters'!$B$3</f>
        <v>241.4098298</v>
      </c>
      <c r="F310" s="29">
        <f t="shared" si="1"/>
        <v>1045.201102</v>
      </c>
      <c r="G310" s="28">
        <f>'Economic Inputs Parameters'!$B$4</f>
        <v>3000</v>
      </c>
      <c r="H310" s="28">
        <f t="shared" si="2"/>
        <v>-1954.798898</v>
      </c>
      <c r="I310" s="29">
        <v>0.0</v>
      </c>
      <c r="J310" s="28">
        <f t="shared" si="3"/>
        <v>-1954.798898</v>
      </c>
      <c r="K310" s="28">
        <f>1/(1+'Economic Inputs Parameters'!$B$5)^(A310)</f>
        <v>0.07971338288</v>
      </c>
      <c r="L310" s="28">
        <f t="shared" si="4"/>
        <v>-155.823633</v>
      </c>
      <c r="M310" s="60">
        <f t="shared" si="6"/>
        <v>-5328633.904</v>
      </c>
    </row>
    <row r="311" ht="12.75" customHeight="1">
      <c r="A311" s="49">
        <f t="shared" si="5"/>
        <v>307</v>
      </c>
      <c r="B311" s="28">
        <f>DCA_Forecast_Model!G312</f>
        <v>263.1508218</v>
      </c>
      <c r="C311" s="28">
        <f>DCA_Forecast_Model!H312</f>
        <v>3.387190395</v>
      </c>
      <c r="D311" s="29">
        <f>B311*'Economic Inputs Parameters'!$B$2</f>
        <v>789.4524654</v>
      </c>
      <c r="E311" s="29">
        <f>C311*'Economic Inputs Parameters'!$B$3</f>
        <v>237.1033277</v>
      </c>
      <c r="F311" s="29">
        <f t="shared" si="1"/>
        <v>1026.555793</v>
      </c>
      <c r="G311" s="28">
        <f>'Economic Inputs Parameters'!$B$4</f>
        <v>3000</v>
      </c>
      <c r="H311" s="28">
        <f t="shared" si="2"/>
        <v>-1973.444207</v>
      </c>
      <c r="I311" s="29">
        <v>0.0</v>
      </c>
      <c r="J311" s="28">
        <f t="shared" si="3"/>
        <v>-1973.444207</v>
      </c>
      <c r="K311" s="28">
        <f>1/(1+'Economic Inputs Parameters'!$B$5)^(A311)</f>
        <v>0.07905720805</v>
      </c>
      <c r="L311" s="28">
        <f t="shared" si="4"/>
        <v>-156.0149892</v>
      </c>
      <c r="M311" s="60">
        <f t="shared" si="6"/>
        <v>-5328789.919</v>
      </c>
    </row>
    <row r="312" ht="12.75" customHeight="1">
      <c r="A312" s="49">
        <f t="shared" si="5"/>
        <v>308</v>
      </c>
      <c r="B312" s="28">
        <f>DCA_Forecast_Model!G313</f>
        <v>258.4564828</v>
      </c>
      <c r="C312" s="28">
        <f>DCA_Forecast_Model!H313</f>
        <v>3.326766416</v>
      </c>
      <c r="D312" s="29">
        <f>B312*'Economic Inputs Parameters'!$B$2</f>
        <v>775.3694485</v>
      </c>
      <c r="E312" s="29">
        <f>C312*'Economic Inputs Parameters'!$B$3</f>
        <v>232.8736491</v>
      </c>
      <c r="F312" s="29">
        <f t="shared" si="1"/>
        <v>1008.243098</v>
      </c>
      <c r="G312" s="28">
        <f>'Economic Inputs Parameters'!$B$4</f>
        <v>3000</v>
      </c>
      <c r="H312" s="28">
        <f t="shared" si="2"/>
        <v>-1991.756902</v>
      </c>
      <c r="I312" s="29">
        <v>0.0</v>
      </c>
      <c r="J312" s="28">
        <f t="shared" si="3"/>
        <v>-1991.756902</v>
      </c>
      <c r="K312" s="28">
        <f>1/(1+'Economic Inputs Parameters'!$B$5)^(A312)</f>
        <v>0.07840643464</v>
      </c>
      <c r="L312" s="28">
        <f t="shared" si="4"/>
        <v>-156.1665574</v>
      </c>
      <c r="M312" s="60">
        <f t="shared" si="6"/>
        <v>-5328946.085</v>
      </c>
    </row>
    <row r="313" ht="12.75" customHeight="1">
      <c r="A313" s="49">
        <f t="shared" si="5"/>
        <v>309</v>
      </c>
      <c r="B313" s="28">
        <f>DCA_Forecast_Model!G314</f>
        <v>253.845886</v>
      </c>
      <c r="C313" s="28">
        <f>DCA_Forecast_Model!H314</f>
        <v>3.267420337</v>
      </c>
      <c r="D313" s="29">
        <f>B313*'Economic Inputs Parameters'!$B$2</f>
        <v>761.537658</v>
      </c>
      <c r="E313" s="29">
        <f>C313*'Economic Inputs Parameters'!$B$3</f>
        <v>228.7194236</v>
      </c>
      <c r="F313" s="29">
        <f t="shared" si="1"/>
        <v>990.2570816</v>
      </c>
      <c r="G313" s="28">
        <f>'Economic Inputs Parameters'!$B$4</f>
        <v>3000</v>
      </c>
      <c r="H313" s="28">
        <f t="shared" si="2"/>
        <v>-2009.742918</v>
      </c>
      <c r="I313" s="29">
        <v>0.0</v>
      </c>
      <c r="J313" s="28">
        <f t="shared" si="3"/>
        <v>-2009.742918</v>
      </c>
      <c r="K313" s="28">
        <f>1/(1+'Economic Inputs Parameters'!$B$5)^(A313)</f>
        <v>0.07776101819</v>
      </c>
      <c r="L313" s="28">
        <f t="shared" si="4"/>
        <v>-156.2796556</v>
      </c>
      <c r="M313" s="60">
        <f t="shared" si="6"/>
        <v>-5329102.365</v>
      </c>
    </row>
    <row r="314" ht="12.75" customHeight="1">
      <c r="A314" s="49">
        <f t="shared" si="5"/>
        <v>310</v>
      </c>
      <c r="B314" s="28">
        <f>DCA_Forecast_Model!G315</f>
        <v>249.3175374</v>
      </c>
      <c r="C314" s="28">
        <f>DCA_Forecast_Model!H315</f>
        <v>3.209132931</v>
      </c>
      <c r="D314" s="29">
        <f>B314*'Economic Inputs Parameters'!$B$2</f>
        <v>747.9526123</v>
      </c>
      <c r="E314" s="29">
        <f>C314*'Economic Inputs Parameters'!$B$3</f>
        <v>224.6393052</v>
      </c>
      <c r="F314" s="29">
        <f t="shared" si="1"/>
        <v>972.5919175</v>
      </c>
      <c r="G314" s="28">
        <f>'Economic Inputs Parameters'!$B$4</f>
        <v>3000</v>
      </c>
      <c r="H314" s="28">
        <f t="shared" si="2"/>
        <v>-2027.408082</v>
      </c>
      <c r="I314" s="29">
        <v>0.0</v>
      </c>
      <c r="J314" s="28">
        <f t="shared" si="3"/>
        <v>-2027.408082</v>
      </c>
      <c r="K314" s="28">
        <f>1/(1+'Economic Inputs Parameters'!$B$5)^(A314)</f>
        <v>0.0771209146</v>
      </c>
      <c r="L314" s="28">
        <f t="shared" si="4"/>
        <v>-156.3555656</v>
      </c>
      <c r="M314" s="60">
        <f t="shared" si="6"/>
        <v>-5329258.721</v>
      </c>
    </row>
    <row r="315" ht="12.75" customHeight="1">
      <c r="A315" s="49">
        <f t="shared" si="5"/>
        <v>311</v>
      </c>
      <c r="B315" s="28">
        <f>DCA_Forecast_Model!G316</f>
        <v>244.86997</v>
      </c>
      <c r="C315" s="28">
        <f>DCA_Forecast_Model!H316</f>
        <v>3.151885313</v>
      </c>
      <c r="D315" s="29">
        <f>B315*'Economic Inputs Parameters'!$B$2</f>
        <v>734.6099099</v>
      </c>
      <c r="E315" s="29">
        <f>C315*'Economic Inputs Parameters'!$B$3</f>
        <v>220.6319719</v>
      </c>
      <c r="F315" s="29">
        <f t="shared" si="1"/>
        <v>955.2418818</v>
      </c>
      <c r="G315" s="28">
        <f>'Economic Inputs Parameters'!$B$4</f>
        <v>3000</v>
      </c>
      <c r="H315" s="28">
        <f t="shared" si="2"/>
        <v>-2044.758118</v>
      </c>
      <c r="I315" s="29">
        <v>0.0</v>
      </c>
      <c r="J315" s="28">
        <f t="shared" si="3"/>
        <v>-2044.758118</v>
      </c>
      <c r="K315" s="28">
        <f>1/(1+'Economic Inputs Parameters'!$B$5)^(A315)</f>
        <v>0.07648608014</v>
      </c>
      <c r="L315" s="28">
        <f t="shared" si="4"/>
        <v>-156.3955333</v>
      </c>
      <c r="M315" s="60">
        <f t="shared" si="6"/>
        <v>-5329415.116</v>
      </c>
    </row>
    <row r="316" ht="12.75" customHeight="1">
      <c r="A316" s="49">
        <f t="shared" si="5"/>
        <v>312</v>
      </c>
      <c r="B316" s="28">
        <f>DCA_Forecast_Model!G317</f>
        <v>240.5017425</v>
      </c>
      <c r="C316" s="28">
        <f>DCA_Forecast_Model!H317</f>
        <v>3.095658933</v>
      </c>
      <c r="D316" s="29">
        <f>B316*'Economic Inputs Parameters'!$B$2</f>
        <v>721.5052275</v>
      </c>
      <c r="E316" s="29">
        <f>C316*'Economic Inputs Parameters'!$B$3</f>
        <v>216.6961253</v>
      </c>
      <c r="F316" s="29">
        <f t="shared" si="1"/>
        <v>938.2013528</v>
      </c>
      <c r="G316" s="28">
        <f>'Economic Inputs Parameters'!$B$4</f>
        <v>3000</v>
      </c>
      <c r="H316" s="28">
        <f t="shared" si="2"/>
        <v>-2061.798647</v>
      </c>
      <c r="I316" s="29">
        <v>0.0</v>
      </c>
      <c r="J316" s="28">
        <f t="shared" si="3"/>
        <v>-2061.798647</v>
      </c>
      <c r="K316" s="28">
        <f>1/(1+'Economic Inputs Parameters'!$B$5)^(A316)</f>
        <v>0.07585647142</v>
      </c>
      <c r="L316" s="28">
        <f t="shared" si="4"/>
        <v>-156.4007702</v>
      </c>
      <c r="M316" s="60">
        <f t="shared" si="6"/>
        <v>-5329571.517</v>
      </c>
    </row>
    <row r="317" ht="12.75" customHeight="1">
      <c r="A317" s="49">
        <f t="shared" si="5"/>
        <v>313</v>
      </c>
      <c r="B317" s="28">
        <f>DCA_Forecast_Model!G318</f>
        <v>236.2114397</v>
      </c>
      <c r="C317" s="28">
        <f>DCA_Forecast_Model!H318</f>
        <v>3.040435573</v>
      </c>
      <c r="D317" s="29">
        <f>B317*'Economic Inputs Parameters'!$B$2</f>
        <v>708.6343191</v>
      </c>
      <c r="E317" s="29">
        <f>C317*'Economic Inputs Parameters'!$B$3</f>
        <v>212.8304901</v>
      </c>
      <c r="F317" s="29">
        <f t="shared" si="1"/>
        <v>921.4648092</v>
      </c>
      <c r="G317" s="28">
        <f>'Economic Inputs Parameters'!$B$4</f>
        <v>3000</v>
      </c>
      <c r="H317" s="28">
        <f t="shared" si="2"/>
        <v>-2078.535191</v>
      </c>
      <c r="I317" s="29">
        <v>0.0</v>
      </c>
      <c r="J317" s="28">
        <f t="shared" si="3"/>
        <v>-2078.535191</v>
      </c>
      <c r="K317" s="28">
        <f>1/(1+'Economic Inputs Parameters'!$B$5)^(A317)</f>
        <v>0.07523204545</v>
      </c>
      <c r="L317" s="28">
        <f t="shared" si="4"/>
        <v>-156.3724539</v>
      </c>
      <c r="M317" s="60">
        <f t="shared" si="6"/>
        <v>-5329727.889</v>
      </c>
    </row>
    <row r="318" ht="12.75" customHeight="1">
      <c r="A318" s="49">
        <f t="shared" si="5"/>
        <v>314</v>
      </c>
      <c r="B318" s="28">
        <f>DCA_Forecast_Model!G319</f>
        <v>231.9976715</v>
      </c>
      <c r="C318" s="28">
        <f>DCA_Forecast_Model!H319</f>
        <v>2.986197341</v>
      </c>
      <c r="D318" s="29">
        <f>B318*'Economic Inputs Parameters'!$B$2</f>
        <v>695.9930144</v>
      </c>
      <c r="E318" s="29">
        <f>C318*'Economic Inputs Parameters'!$B$3</f>
        <v>209.0338139</v>
      </c>
      <c r="F318" s="29">
        <f t="shared" si="1"/>
        <v>905.0268283</v>
      </c>
      <c r="G318" s="28">
        <f>'Economic Inputs Parameters'!$B$4</f>
        <v>3000</v>
      </c>
      <c r="H318" s="28">
        <f t="shared" si="2"/>
        <v>-2094.973172</v>
      </c>
      <c r="I318" s="29">
        <v>0.0</v>
      </c>
      <c r="J318" s="28">
        <f t="shared" si="3"/>
        <v>-2094.973172</v>
      </c>
      <c r="K318" s="28">
        <f>1/(1+'Economic Inputs Parameters'!$B$5)^(A318)</f>
        <v>0.07461275954</v>
      </c>
      <c r="L318" s="28">
        <f t="shared" si="4"/>
        <v>-156.3117295</v>
      </c>
      <c r="M318" s="60">
        <f t="shared" si="6"/>
        <v>-5329884.201</v>
      </c>
    </row>
    <row r="319" ht="12.75" customHeight="1">
      <c r="A319" s="49">
        <f t="shared" si="5"/>
        <v>315</v>
      </c>
      <c r="B319" s="28">
        <f>DCA_Forecast_Model!G320</f>
        <v>227.8590725</v>
      </c>
      <c r="C319" s="28">
        <f>DCA_Forecast_Model!H320</f>
        <v>2.932926664</v>
      </c>
      <c r="D319" s="29">
        <f>B319*'Economic Inputs Parameters'!$B$2</f>
        <v>683.5772175</v>
      </c>
      <c r="E319" s="29">
        <f>C319*'Economic Inputs Parameters'!$B$3</f>
        <v>205.3048665</v>
      </c>
      <c r="F319" s="29">
        <f t="shared" si="1"/>
        <v>888.882084</v>
      </c>
      <c r="G319" s="28">
        <f>'Economic Inputs Parameters'!$B$4</f>
        <v>3000</v>
      </c>
      <c r="H319" s="28">
        <f t="shared" si="2"/>
        <v>-2111.117916</v>
      </c>
      <c r="I319" s="29">
        <v>0.0</v>
      </c>
      <c r="J319" s="28">
        <f t="shared" si="3"/>
        <v>-2111.117916</v>
      </c>
      <c r="K319" s="28">
        <f>1/(1+'Economic Inputs Parameters'!$B$5)^(A319)</f>
        <v>0.0739985714</v>
      </c>
      <c r="L319" s="28">
        <f t="shared" si="4"/>
        <v>-156.2197098</v>
      </c>
      <c r="M319" s="60">
        <f t="shared" si="6"/>
        <v>-5330040.421</v>
      </c>
    </row>
    <row r="320" ht="12.75" customHeight="1">
      <c r="A320" s="49">
        <f t="shared" si="5"/>
        <v>316</v>
      </c>
      <c r="B320" s="28">
        <f>DCA_Forecast_Model!G321</f>
        <v>223.7943019</v>
      </c>
      <c r="C320" s="28">
        <f>DCA_Forecast_Model!H321</f>
        <v>2.88060628</v>
      </c>
      <c r="D320" s="29">
        <f>B320*'Economic Inputs Parameters'!$B$2</f>
        <v>671.3829056</v>
      </c>
      <c r="E320" s="29">
        <f>C320*'Economic Inputs Parameters'!$B$3</f>
        <v>201.6424396</v>
      </c>
      <c r="F320" s="29">
        <f t="shared" si="1"/>
        <v>873.0253452</v>
      </c>
      <c r="G320" s="28">
        <f>'Economic Inputs Parameters'!$B$4</f>
        <v>3000</v>
      </c>
      <c r="H320" s="28">
        <f t="shared" si="2"/>
        <v>-2126.974655</v>
      </c>
      <c r="I320" s="29">
        <v>0.0</v>
      </c>
      <c r="J320" s="28">
        <f t="shared" si="3"/>
        <v>-2126.974655</v>
      </c>
      <c r="K320" s="28">
        <f>1/(1+'Economic Inputs Parameters'!$B$5)^(A320)</f>
        <v>0.07338943906</v>
      </c>
      <c r="L320" s="28">
        <f t="shared" si="4"/>
        <v>-156.0974768</v>
      </c>
      <c r="M320" s="60">
        <f t="shared" si="6"/>
        <v>-5330196.518</v>
      </c>
    </row>
    <row r="321" ht="12.75" customHeight="1">
      <c r="A321" s="49">
        <f t="shared" si="5"/>
        <v>317</v>
      </c>
      <c r="B321" s="28">
        <f>DCA_Forecast_Model!G322</f>
        <v>219.8020426</v>
      </c>
      <c r="C321" s="28">
        <f>DCA_Forecast_Model!H322</f>
        <v>2.829219238</v>
      </c>
      <c r="D321" s="29">
        <f>B321*'Economic Inputs Parameters'!$B$2</f>
        <v>659.4061277</v>
      </c>
      <c r="E321" s="29">
        <f>C321*'Economic Inputs Parameters'!$B$3</f>
        <v>198.0453466</v>
      </c>
      <c r="F321" s="29">
        <f t="shared" si="1"/>
        <v>857.4514743</v>
      </c>
      <c r="G321" s="28">
        <f>'Economic Inputs Parameters'!$B$4</f>
        <v>3000</v>
      </c>
      <c r="H321" s="28">
        <f t="shared" si="2"/>
        <v>-2142.548526</v>
      </c>
      <c r="I321" s="29">
        <v>0.0</v>
      </c>
      <c r="J321" s="28">
        <f t="shared" si="3"/>
        <v>-2142.548526</v>
      </c>
      <c r="K321" s="28">
        <f>1/(1+'Economic Inputs Parameters'!$B$5)^(A321)</f>
        <v>0.07278532089</v>
      </c>
      <c r="L321" s="28">
        <f t="shared" si="4"/>
        <v>-155.946082</v>
      </c>
      <c r="M321" s="60">
        <f t="shared" si="6"/>
        <v>-5330352.464</v>
      </c>
    </row>
    <row r="322" ht="12.75" customHeight="1">
      <c r="A322" s="49">
        <f t="shared" si="5"/>
        <v>318</v>
      </c>
      <c r="B322" s="28">
        <f>DCA_Forecast_Model!G323</f>
        <v>215.881001</v>
      </c>
      <c r="C322" s="28">
        <f>DCA_Forecast_Model!H323</f>
        <v>2.778748887</v>
      </c>
      <c r="D322" s="29">
        <f>B322*'Economic Inputs Parameters'!$B$2</f>
        <v>647.6430031</v>
      </c>
      <c r="E322" s="29">
        <f>C322*'Economic Inputs Parameters'!$B$3</f>
        <v>194.5124221</v>
      </c>
      <c r="F322" s="29">
        <f t="shared" si="1"/>
        <v>842.1554252</v>
      </c>
      <c r="G322" s="28">
        <f>'Economic Inputs Parameters'!$B$4</f>
        <v>3000</v>
      </c>
      <c r="H322" s="28">
        <f t="shared" si="2"/>
        <v>-2157.844575</v>
      </c>
      <c r="I322" s="29">
        <v>0.0</v>
      </c>
      <c r="J322" s="28">
        <f t="shared" si="3"/>
        <v>-2157.844575</v>
      </c>
      <c r="K322" s="28">
        <f>1/(1+'Economic Inputs Parameters'!$B$5)^(A322)</f>
        <v>0.07218617563</v>
      </c>
      <c r="L322" s="28">
        <f t="shared" si="4"/>
        <v>-155.7665475</v>
      </c>
      <c r="M322" s="60">
        <f t="shared" si="6"/>
        <v>-5330508.231</v>
      </c>
    </row>
    <row r="323" ht="12.75" customHeight="1">
      <c r="A323" s="49">
        <f t="shared" si="5"/>
        <v>319</v>
      </c>
      <c r="B323" s="28">
        <f>DCA_Forecast_Model!G324</f>
        <v>212.0299069</v>
      </c>
      <c r="C323" s="28">
        <f>DCA_Forecast_Model!H324</f>
        <v>2.729178876</v>
      </c>
      <c r="D323" s="29">
        <f>B323*'Economic Inputs Parameters'!$B$2</f>
        <v>636.0897206</v>
      </c>
      <c r="E323" s="29">
        <f>C323*'Economic Inputs Parameters'!$B$3</f>
        <v>191.0425213</v>
      </c>
      <c r="F323" s="29">
        <f t="shared" si="1"/>
        <v>827.1322419</v>
      </c>
      <c r="G323" s="28">
        <f>'Economic Inputs Parameters'!$B$4</f>
        <v>3000</v>
      </c>
      <c r="H323" s="28">
        <f t="shared" si="2"/>
        <v>-2172.867758</v>
      </c>
      <c r="I323" s="29">
        <v>0.0</v>
      </c>
      <c r="J323" s="28">
        <f t="shared" si="3"/>
        <v>-2172.867758</v>
      </c>
      <c r="K323" s="28">
        <f>1/(1+'Economic Inputs Parameters'!$B$5)^(A323)</f>
        <v>0.07159196235</v>
      </c>
      <c r="L323" s="28">
        <f t="shared" si="4"/>
        <v>-155.5598667</v>
      </c>
      <c r="M323" s="60">
        <f t="shared" si="6"/>
        <v>-5330663.791</v>
      </c>
    </row>
    <row r="324" ht="12.75" customHeight="1">
      <c r="A324" s="49">
        <f t="shared" si="5"/>
        <v>320</v>
      </c>
      <c r="B324" s="28">
        <f>DCA_Forecast_Model!G325</f>
        <v>208.2475122</v>
      </c>
      <c r="C324" s="28">
        <f>DCA_Forecast_Model!H325</f>
        <v>2.680493142</v>
      </c>
      <c r="D324" s="29">
        <f>B324*'Economic Inputs Parameters'!$B$2</f>
        <v>624.7425366</v>
      </c>
      <c r="E324" s="29">
        <f>C324*'Economic Inputs Parameters'!$B$3</f>
        <v>187.6345199</v>
      </c>
      <c r="F324" s="29">
        <f t="shared" si="1"/>
        <v>812.3770566</v>
      </c>
      <c r="G324" s="28">
        <f>'Economic Inputs Parameters'!$B$4</f>
        <v>3000</v>
      </c>
      <c r="H324" s="28">
        <f t="shared" si="2"/>
        <v>-2187.622943</v>
      </c>
      <c r="I324" s="29">
        <v>0.0</v>
      </c>
      <c r="J324" s="28">
        <f t="shared" si="3"/>
        <v>-2187.622943</v>
      </c>
      <c r="K324" s="28">
        <f>1/(1+'Economic Inputs Parameters'!$B$5)^(A324)</f>
        <v>0.07100264043</v>
      </c>
      <c r="L324" s="28">
        <f t="shared" si="4"/>
        <v>-155.3270053</v>
      </c>
      <c r="M324" s="60">
        <f t="shared" si="6"/>
        <v>-5330819.118</v>
      </c>
    </row>
    <row r="325" ht="12.75" customHeight="1">
      <c r="A325" s="49">
        <f t="shared" si="5"/>
        <v>321</v>
      </c>
      <c r="B325" s="28">
        <f>DCA_Forecast_Model!G326</f>
        <v>204.5325916</v>
      </c>
      <c r="C325" s="28">
        <f>DCA_Forecast_Model!H326</f>
        <v>2.632675912</v>
      </c>
      <c r="D325" s="29">
        <f>B325*'Economic Inputs Parameters'!$B$2</f>
        <v>613.5977747</v>
      </c>
      <c r="E325" s="29">
        <f>C325*'Economic Inputs Parameters'!$B$3</f>
        <v>184.2873138</v>
      </c>
      <c r="F325" s="29">
        <f t="shared" si="1"/>
        <v>797.8850885</v>
      </c>
      <c r="G325" s="28">
        <f>'Economic Inputs Parameters'!$B$4</f>
        <v>3000</v>
      </c>
      <c r="H325" s="28">
        <f t="shared" si="2"/>
        <v>-2202.114911</v>
      </c>
      <c r="I325" s="29">
        <v>0.0</v>
      </c>
      <c r="J325" s="28">
        <f t="shared" si="3"/>
        <v>-2202.114911</v>
      </c>
      <c r="K325" s="28">
        <f>1/(1+'Economic Inputs Parameters'!$B$5)^(A325)</f>
        <v>0.07041816962</v>
      </c>
      <c r="L325" s="28">
        <f t="shared" si="4"/>
        <v>-155.0689014</v>
      </c>
      <c r="M325" s="60">
        <f t="shared" si="6"/>
        <v>-5330974.187</v>
      </c>
    </row>
    <row r="326" ht="12.75" customHeight="1">
      <c r="A326" s="49">
        <f t="shared" si="5"/>
        <v>322</v>
      </c>
      <c r="B326" s="28">
        <f>DCA_Forecast_Model!G327</f>
        <v>200.8839413</v>
      </c>
      <c r="C326" s="28">
        <f>DCA_Forecast_Model!H327</f>
        <v>2.585711691</v>
      </c>
      <c r="D326" s="29">
        <f>B326*'Economic Inputs Parameters'!$B$2</f>
        <v>602.6518239</v>
      </c>
      <c r="E326" s="29">
        <f>C326*'Economic Inputs Parameters'!$B$3</f>
        <v>180.9998184</v>
      </c>
      <c r="F326" s="29">
        <f t="shared" si="1"/>
        <v>783.6516423</v>
      </c>
      <c r="G326" s="28">
        <f>'Economic Inputs Parameters'!$B$4</f>
        <v>3000</v>
      </c>
      <c r="H326" s="28">
        <f t="shared" si="2"/>
        <v>-2216.348358</v>
      </c>
      <c r="I326" s="29">
        <v>0.0</v>
      </c>
      <c r="J326" s="28">
        <f t="shared" si="3"/>
        <v>-2216.348358</v>
      </c>
      <c r="K326" s="28">
        <f>1/(1+'Economic Inputs Parameters'!$B$5)^(A326)</f>
        <v>0.06983850999</v>
      </c>
      <c r="L326" s="28">
        <f t="shared" si="4"/>
        <v>-154.7864669</v>
      </c>
      <c r="M326" s="60">
        <f t="shared" si="6"/>
        <v>-5331128.973</v>
      </c>
    </row>
    <row r="327" ht="12.75" customHeight="1">
      <c r="A327" s="49">
        <f t="shared" si="5"/>
        <v>323</v>
      </c>
      <c r="B327" s="28">
        <f>DCA_Forecast_Model!G328</f>
        <v>197.3003792</v>
      </c>
      <c r="C327" s="28">
        <f>DCA_Forecast_Model!H328</f>
        <v>2.539585264</v>
      </c>
      <c r="D327" s="29">
        <f>B327*'Economic Inputs Parameters'!$B$2</f>
        <v>591.9011375</v>
      </c>
      <c r="E327" s="29">
        <f>C327*'Economic Inputs Parameters'!$B$3</f>
        <v>177.7709685</v>
      </c>
      <c r="F327" s="29">
        <f t="shared" si="1"/>
        <v>769.672106</v>
      </c>
      <c r="G327" s="28">
        <f>'Economic Inputs Parameters'!$B$4</f>
        <v>3000</v>
      </c>
      <c r="H327" s="28">
        <f t="shared" si="2"/>
        <v>-2230.327894</v>
      </c>
      <c r="I327" s="29">
        <v>0.0</v>
      </c>
      <c r="J327" s="28">
        <f t="shared" si="3"/>
        <v>-2230.327894</v>
      </c>
      <c r="K327" s="28">
        <f>1/(1+'Economic Inputs Parameters'!$B$5)^(A327)</f>
        <v>0.06926362193</v>
      </c>
      <c r="L327" s="28">
        <f t="shared" si="4"/>
        <v>-154.480588</v>
      </c>
      <c r="M327" s="60">
        <f t="shared" si="6"/>
        <v>-5331283.454</v>
      </c>
    </row>
    <row r="328" ht="12.75" customHeight="1">
      <c r="A328" s="49">
        <f t="shared" si="5"/>
        <v>324</v>
      </c>
      <c r="B328" s="28">
        <f>DCA_Forecast_Model!G329</f>
        <v>193.7807441</v>
      </c>
      <c r="C328" s="28">
        <f>DCA_Forecast_Model!H329</f>
        <v>2.494281685</v>
      </c>
      <c r="D328" s="29">
        <f>B328*'Economic Inputs Parameters'!$B$2</f>
        <v>581.3422323</v>
      </c>
      <c r="E328" s="29">
        <f>C328*'Economic Inputs Parameters'!$B$3</f>
        <v>174.5997179</v>
      </c>
      <c r="F328" s="29">
        <f t="shared" si="1"/>
        <v>755.9419502</v>
      </c>
      <c r="G328" s="28">
        <f>'Economic Inputs Parameters'!$B$4</f>
        <v>3000</v>
      </c>
      <c r="H328" s="28">
        <f t="shared" si="2"/>
        <v>-2244.05805</v>
      </c>
      <c r="I328" s="29">
        <v>0.0</v>
      </c>
      <c r="J328" s="28">
        <f t="shared" si="3"/>
        <v>-2244.05805</v>
      </c>
      <c r="K328" s="28">
        <f>1/(1+'Economic Inputs Parameters'!$B$5)^(A328)</f>
        <v>0.06869346616</v>
      </c>
      <c r="L328" s="28">
        <f t="shared" si="4"/>
        <v>-154.1521257</v>
      </c>
      <c r="M328" s="60">
        <f t="shared" si="6"/>
        <v>-5331437.606</v>
      </c>
    </row>
    <row r="329" ht="12.75" customHeight="1">
      <c r="A329" s="49">
        <f t="shared" si="5"/>
        <v>325</v>
      </c>
      <c r="B329" s="28">
        <f>DCA_Forecast_Model!G330</f>
        <v>190.3238957</v>
      </c>
      <c r="C329" s="28">
        <f>DCA_Forecast_Model!H330</f>
        <v>2.449786274</v>
      </c>
      <c r="D329" s="29">
        <f>B329*'Economic Inputs Parameters'!$B$2</f>
        <v>570.971687</v>
      </c>
      <c r="E329" s="29">
        <f>C329*'Economic Inputs Parameters'!$B$3</f>
        <v>171.4850392</v>
      </c>
      <c r="F329" s="29">
        <f t="shared" si="1"/>
        <v>742.4567262</v>
      </c>
      <c r="G329" s="28">
        <f>'Economic Inputs Parameters'!$B$4</f>
        <v>3000</v>
      </c>
      <c r="H329" s="28">
        <f t="shared" si="2"/>
        <v>-2257.543274</v>
      </c>
      <c r="I329" s="29">
        <v>0.0</v>
      </c>
      <c r="J329" s="28">
        <f t="shared" si="3"/>
        <v>-2257.543274</v>
      </c>
      <c r="K329" s="28">
        <f>1/(1+'Economic Inputs Parameters'!$B$5)^(A329)</f>
        <v>0.06812800373</v>
      </c>
      <c r="L329" s="28">
        <f t="shared" si="4"/>
        <v>-153.8019166</v>
      </c>
      <c r="M329" s="60">
        <f t="shared" si="6"/>
        <v>-5331591.408</v>
      </c>
    </row>
    <row r="330" ht="12.75" customHeight="1">
      <c r="A330" s="49">
        <f t="shared" si="5"/>
        <v>326</v>
      </c>
      <c r="B330" s="28">
        <f>DCA_Forecast_Model!G331</f>
        <v>186.9287138</v>
      </c>
      <c r="C330" s="28">
        <f>DCA_Forecast_Model!H331</f>
        <v>2.406084616</v>
      </c>
      <c r="D330" s="29">
        <f>B330*'Economic Inputs Parameters'!$B$2</f>
        <v>560.7861415</v>
      </c>
      <c r="E330" s="29">
        <f>C330*'Economic Inputs Parameters'!$B$3</f>
        <v>168.4259231</v>
      </c>
      <c r="F330" s="29">
        <f t="shared" si="1"/>
        <v>729.2120647</v>
      </c>
      <c r="G330" s="28">
        <f>'Economic Inputs Parameters'!$B$4</f>
        <v>3000</v>
      </c>
      <c r="H330" s="28">
        <f t="shared" si="2"/>
        <v>-2270.787935</v>
      </c>
      <c r="I330" s="29">
        <v>0.0</v>
      </c>
      <c r="J330" s="28">
        <f t="shared" si="3"/>
        <v>-2270.787935</v>
      </c>
      <c r="K330" s="28">
        <f>1/(1+'Economic Inputs Parameters'!$B$5)^(A330)</f>
        <v>0.067567196</v>
      </c>
      <c r="L330" s="28">
        <f t="shared" si="4"/>
        <v>-153.4307735</v>
      </c>
      <c r="M330" s="60">
        <f t="shared" si="6"/>
        <v>-5331744.839</v>
      </c>
    </row>
    <row r="331" ht="12.75" customHeight="1">
      <c r="A331" s="49">
        <f t="shared" si="5"/>
        <v>327</v>
      </c>
      <c r="B331" s="28">
        <f>DCA_Forecast_Model!G332</f>
        <v>183.5940986</v>
      </c>
      <c r="C331" s="28">
        <f>DCA_Forecast_Model!H332</f>
        <v>2.363162551</v>
      </c>
      <c r="D331" s="29">
        <f>B331*'Economic Inputs Parameters'!$B$2</f>
        <v>550.7822957</v>
      </c>
      <c r="E331" s="29">
        <f>C331*'Economic Inputs Parameters'!$B$3</f>
        <v>165.4213786</v>
      </c>
      <c r="F331" s="29">
        <f t="shared" si="1"/>
        <v>716.2036743</v>
      </c>
      <c r="G331" s="28">
        <f>'Economic Inputs Parameters'!$B$4</f>
        <v>3000</v>
      </c>
      <c r="H331" s="28">
        <f t="shared" si="2"/>
        <v>-2283.796326</v>
      </c>
      <c r="I331" s="29">
        <v>0.0</v>
      </c>
      <c r="J331" s="28">
        <f t="shared" si="3"/>
        <v>-2283.796326</v>
      </c>
      <c r="K331" s="28">
        <f>1/(1+'Economic Inputs Parameters'!$B$5)^(A331)</f>
        <v>0.06701100466</v>
      </c>
      <c r="L331" s="28">
        <f t="shared" si="4"/>
        <v>-153.0394862</v>
      </c>
      <c r="M331" s="60">
        <f t="shared" si="6"/>
        <v>-5331897.878</v>
      </c>
    </row>
    <row r="332" ht="12.75" customHeight="1">
      <c r="A332" s="49">
        <f t="shared" si="5"/>
        <v>328</v>
      </c>
      <c r="B332" s="28">
        <f>DCA_Forecast_Model!G333</f>
        <v>180.3189694</v>
      </c>
      <c r="C332" s="28">
        <f>DCA_Forecast_Model!H333</f>
        <v>2.32100617</v>
      </c>
      <c r="D332" s="29">
        <f>B332*'Economic Inputs Parameters'!$B$2</f>
        <v>540.9569081</v>
      </c>
      <c r="E332" s="29">
        <f>C332*'Economic Inputs Parameters'!$B$3</f>
        <v>162.4704319</v>
      </c>
      <c r="F332" s="29">
        <f t="shared" si="1"/>
        <v>703.4273401</v>
      </c>
      <c r="G332" s="28">
        <f>'Economic Inputs Parameters'!$B$4</f>
        <v>3000</v>
      </c>
      <c r="H332" s="28">
        <f t="shared" si="2"/>
        <v>-2296.57266</v>
      </c>
      <c r="I332" s="29">
        <v>0.0</v>
      </c>
      <c r="J332" s="28">
        <f t="shared" si="3"/>
        <v>-2296.57266</v>
      </c>
      <c r="K332" s="28">
        <f>1/(1+'Economic Inputs Parameters'!$B$5)^(A332)</f>
        <v>0.06645939171</v>
      </c>
      <c r="L332" s="28">
        <f t="shared" si="4"/>
        <v>-152.628822</v>
      </c>
      <c r="M332" s="60">
        <f t="shared" si="6"/>
        <v>-5332050.507</v>
      </c>
    </row>
    <row r="333" ht="12.75" customHeight="1">
      <c r="A333" s="49">
        <f t="shared" si="5"/>
        <v>329</v>
      </c>
      <c r="B333" s="28">
        <f>DCA_Forecast_Model!G334</f>
        <v>177.1022651</v>
      </c>
      <c r="C333" s="28">
        <f>DCA_Forecast_Model!H334</f>
        <v>2.279601816</v>
      </c>
      <c r="D333" s="29">
        <f>B333*'Economic Inputs Parameters'!$B$2</f>
        <v>531.3067954</v>
      </c>
      <c r="E333" s="29">
        <f>C333*'Economic Inputs Parameters'!$B$3</f>
        <v>159.5721272</v>
      </c>
      <c r="F333" s="29">
        <f t="shared" si="1"/>
        <v>690.8789225</v>
      </c>
      <c r="G333" s="28">
        <f>'Economic Inputs Parameters'!$B$4</f>
        <v>3000</v>
      </c>
      <c r="H333" s="28">
        <f t="shared" si="2"/>
        <v>-2309.121077</v>
      </c>
      <c r="I333" s="29">
        <v>0.0</v>
      </c>
      <c r="J333" s="28">
        <f t="shared" si="3"/>
        <v>-2309.121077</v>
      </c>
      <c r="K333" s="28">
        <f>1/(1+'Economic Inputs Parameters'!$B$5)^(A333)</f>
        <v>0.06591231946</v>
      </c>
      <c r="L333" s="28">
        <f t="shared" si="4"/>
        <v>-152.1995261</v>
      </c>
      <c r="M333" s="60">
        <f t="shared" si="6"/>
        <v>-5332202.706</v>
      </c>
    </row>
    <row r="334" ht="12.75" customHeight="1">
      <c r="A334" s="49">
        <f t="shared" si="5"/>
        <v>330</v>
      </c>
      <c r="B334" s="28">
        <f>DCA_Forecast_Model!G335</f>
        <v>173.9429435</v>
      </c>
      <c r="C334" s="28">
        <f>DCA_Forecast_Model!H335</f>
        <v>2.238936073</v>
      </c>
      <c r="D334" s="29">
        <f>B334*'Economic Inputs Parameters'!$B$2</f>
        <v>521.8288306</v>
      </c>
      <c r="E334" s="29">
        <f>C334*'Economic Inputs Parameters'!$B$3</f>
        <v>156.7255251</v>
      </c>
      <c r="F334" s="29">
        <f t="shared" si="1"/>
        <v>678.5543558</v>
      </c>
      <c r="G334" s="28">
        <f>'Economic Inputs Parameters'!$B$4</f>
        <v>3000</v>
      </c>
      <c r="H334" s="28">
        <f t="shared" si="2"/>
        <v>-2321.445644</v>
      </c>
      <c r="I334" s="29">
        <v>0.0</v>
      </c>
      <c r="J334" s="28">
        <f t="shared" si="3"/>
        <v>-2321.445644</v>
      </c>
      <c r="K334" s="28">
        <f>1/(1+'Economic Inputs Parameters'!$B$5)^(A334)</f>
        <v>0.06536975053</v>
      </c>
      <c r="L334" s="28">
        <f t="shared" si="4"/>
        <v>-151.7523226</v>
      </c>
      <c r="M334" s="60">
        <f t="shared" si="6"/>
        <v>-5332354.459</v>
      </c>
    </row>
    <row r="335" ht="12.75" customHeight="1">
      <c r="A335" s="49">
        <f t="shared" si="5"/>
        <v>331</v>
      </c>
      <c r="B335" s="28">
        <f>DCA_Forecast_Model!G336</f>
        <v>170.839981</v>
      </c>
      <c r="C335" s="28">
        <f>DCA_Forecast_Model!H336</f>
        <v>2.198995765</v>
      </c>
      <c r="D335" s="29">
        <f>B335*'Economic Inputs Parameters'!$B$2</f>
        <v>512.519943</v>
      </c>
      <c r="E335" s="29">
        <f>C335*'Economic Inputs Parameters'!$B$3</f>
        <v>153.9297036</v>
      </c>
      <c r="F335" s="29">
        <f t="shared" si="1"/>
        <v>666.4496466</v>
      </c>
      <c r="G335" s="28">
        <f>'Economic Inputs Parameters'!$B$4</f>
        <v>3000</v>
      </c>
      <c r="H335" s="28">
        <f t="shared" si="2"/>
        <v>-2333.550353</v>
      </c>
      <c r="I335" s="29">
        <v>0.0</v>
      </c>
      <c r="J335" s="28">
        <f t="shared" si="3"/>
        <v>-2333.550353</v>
      </c>
      <c r="K335" s="28">
        <f>1/(1+'Economic Inputs Parameters'!$B$5)^(A335)</f>
        <v>0.06483164785</v>
      </c>
      <c r="L335" s="28">
        <f t="shared" si="4"/>
        <v>-151.2879148</v>
      </c>
      <c r="M335" s="60">
        <f t="shared" si="6"/>
        <v>-5332505.747</v>
      </c>
    </row>
    <row r="336" ht="12.75" customHeight="1">
      <c r="A336" s="49">
        <f t="shared" si="5"/>
        <v>332</v>
      </c>
      <c r="B336" s="28">
        <f>DCA_Forecast_Model!G337</f>
        <v>167.7923721</v>
      </c>
      <c r="C336" s="28">
        <f>DCA_Forecast_Model!H337</f>
        <v>2.159767951</v>
      </c>
      <c r="D336" s="29">
        <f>B336*'Economic Inputs Parameters'!$B$2</f>
        <v>503.3771163</v>
      </c>
      <c r="E336" s="29">
        <f>C336*'Economic Inputs Parameters'!$B$3</f>
        <v>151.1837566</v>
      </c>
      <c r="F336" s="29">
        <f t="shared" si="1"/>
        <v>654.5608729</v>
      </c>
      <c r="G336" s="28">
        <f>'Economic Inputs Parameters'!$B$4</f>
        <v>3000</v>
      </c>
      <c r="H336" s="28">
        <f t="shared" si="2"/>
        <v>-2345.439127</v>
      </c>
      <c r="I336" s="29">
        <v>0.0</v>
      </c>
      <c r="J336" s="28">
        <f t="shared" si="3"/>
        <v>-2345.439127</v>
      </c>
      <c r="K336" s="28">
        <f>1/(1+'Economic Inputs Parameters'!$B$5)^(A336)</f>
        <v>0.06429797466</v>
      </c>
      <c r="L336" s="28">
        <f t="shared" si="4"/>
        <v>-150.8069856</v>
      </c>
      <c r="M336" s="60">
        <f t="shared" si="6"/>
        <v>-5332656.554</v>
      </c>
    </row>
    <row r="337" ht="12.75" customHeight="1">
      <c r="A337" s="49">
        <f t="shared" si="5"/>
        <v>333</v>
      </c>
      <c r="B337" s="28">
        <f>DCA_Forecast_Model!G338</f>
        <v>164.7991294</v>
      </c>
      <c r="C337" s="28">
        <f>DCA_Forecast_Model!H338</f>
        <v>2.12123992</v>
      </c>
      <c r="D337" s="29">
        <f>B337*'Economic Inputs Parameters'!$B$2</f>
        <v>494.3973882</v>
      </c>
      <c r="E337" s="29">
        <f>C337*'Economic Inputs Parameters'!$B$3</f>
        <v>148.4867944</v>
      </c>
      <c r="F337" s="29">
        <f t="shared" si="1"/>
        <v>642.8841827</v>
      </c>
      <c r="G337" s="28">
        <f>'Economic Inputs Parameters'!$B$4</f>
        <v>3000</v>
      </c>
      <c r="H337" s="28">
        <f t="shared" si="2"/>
        <v>-2357.115817</v>
      </c>
      <c r="I337" s="29">
        <v>0.0</v>
      </c>
      <c r="J337" s="28">
        <f t="shared" si="3"/>
        <v>-2357.115817</v>
      </c>
      <c r="K337" s="28">
        <f>1/(1+'Economic Inputs Parameters'!$B$5)^(A337)</f>
        <v>0.0637686945</v>
      </c>
      <c r="L337" s="28">
        <f t="shared" si="4"/>
        <v>-150.3101985</v>
      </c>
      <c r="M337" s="60">
        <f t="shared" si="6"/>
        <v>-5332806.864</v>
      </c>
    </row>
    <row r="338" ht="12.75" customHeight="1">
      <c r="A338" s="49">
        <f t="shared" si="5"/>
        <v>334</v>
      </c>
      <c r="B338" s="28">
        <f>DCA_Forecast_Model!G339</f>
        <v>161.8592831</v>
      </c>
      <c r="C338" s="28">
        <f>DCA_Forecast_Model!H339</f>
        <v>2.08339919</v>
      </c>
      <c r="D338" s="29">
        <f>B338*'Economic Inputs Parameters'!$B$2</f>
        <v>485.5778492</v>
      </c>
      <c r="E338" s="29">
        <f>C338*'Economic Inputs Parameters'!$B$3</f>
        <v>145.8379433</v>
      </c>
      <c r="F338" s="29">
        <f t="shared" si="1"/>
        <v>631.4157925</v>
      </c>
      <c r="G338" s="28">
        <f>'Economic Inputs Parameters'!$B$4</f>
        <v>3000</v>
      </c>
      <c r="H338" s="28">
        <f t="shared" si="2"/>
        <v>-2368.584207</v>
      </c>
      <c r="I338" s="29">
        <v>0.0</v>
      </c>
      <c r="J338" s="28">
        <f t="shared" si="3"/>
        <v>-2368.584207</v>
      </c>
      <c r="K338" s="28">
        <f>1/(1+'Economic Inputs Parameters'!$B$5)^(A338)</f>
        <v>0.0632437712</v>
      </c>
      <c r="L338" s="28">
        <f t="shared" si="4"/>
        <v>-149.7981977</v>
      </c>
      <c r="M338" s="60">
        <f t="shared" si="6"/>
        <v>-5332956.662</v>
      </c>
    </row>
    <row r="339" ht="12.75" customHeight="1">
      <c r="A339" s="49">
        <f t="shared" si="5"/>
        <v>335</v>
      </c>
      <c r="B339" s="28">
        <f>DCA_Forecast_Model!G340</f>
        <v>158.9718806</v>
      </c>
      <c r="C339" s="28">
        <f>DCA_Forecast_Model!H340</f>
        <v>2.046233499</v>
      </c>
      <c r="D339" s="29">
        <f>B339*'Economic Inputs Parameters'!$B$2</f>
        <v>476.9156417</v>
      </c>
      <c r="E339" s="29">
        <f>C339*'Economic Inputs Parameters'!$B$3</f>
        <v>143.236345</v>
      </c>
      <c r="F339" s="29">
        <f t="shared" si="1"/>
        <v>620.1519867</v>
      </c>
      <c r="G339" s="28">
        <f>'Economic Inputs Parameters'!$B$4</f>
        <v>3000</v>
      </c>
      <c r="H339" s="28">
        <f t="shared" si="2"/>
        <v>-2379.848013</v>
      </c>
      <c r="I339" s="29">
        <v>0.0</v>
      </c>
      <c r="J339" s="28">
        <f t="shared" si="3"/>
        <v>-2379.848013</v>
      </c>
      <c r="K339" s="28">
        <f>1/(1+'Economic Inputs Parameters'!$B$5)^(A339)</f>
        <v>0.0627231689</v>
      </c>
      <c r="L339" s="28">
        <f t="shared" si="4"/>
        <v>-149.2716089</v>
      </c>
      <c r="M339" s="60">
        <f t="shared" si="6"/>
        <v>-5333105.934</v>
      </c>
    </row>
    <row r="340" ht="12.75" customHeight="1">
      <c r="A340" s="49">
        <f t="shared" si="5"/>
        <v>336</v>
      </c>
      <c r="B340" s="28">
        <f>DCA_Forecast_Model!G341</f>
        <v>156.1359863</v>
      </c>
      <c r="C340" s="28">
        <f>DCA_Forecast_Model!H341</f>
        <v>2.009730806</v>
      </c>
      <c r="D340" s="29">
        <f>B340*'Economic Inputs Parameters'!$B$2</f>
        <v>468.407959</v>
      </c>
      <c r="E340" s="29">
        <f>C340*'Economic Inputs Parameters'!$B$3</f>
        <v>140.6811564</v>
      </c>
      <c r="F340" s="29">
        <f t="shared" si="1"/>
        <v>609.0891154</v>
      </c>
      <c r="G340" s="28">
        <f>'Economic Inputs Parameters'!$B$4</f>
        <v>3000</v>
      </c>
      <c r="H340" s="28">
        <f t="shared" si="2"/>
        <v>-2390.910885</v>
      </c>
      <c r="I340" s="29">
        <v>0.0</v>
      </c>
      <c r="J340" s="28">
        <f t="shared" si="3"/>
        <v>-2390.910885</v>
      </c>
      <c r="K340" s="28">
        <f>1/(1+'Economic Inputs Parameters'!$B$5)^(A340)</f>
        <v>0.06220685203</v>
      </c>
      <c r="L340" s="28">
        <f t="shared" si="4"/>
        <v>-148.7310396</v>
      </c>
      <c r="M340" s="60">
        <f t="shared" si="6"/>
        <v>-5333254.665</v>
      </c>
    </row>
    <row r="341" ht="12.75" customHeight="1">
      <c r="A341" s="49">
        <f t="shared" si="5"/>
        <v>337</v>
      </c>
      <c r="B341" s="28">
        <f>DCA_Forecast_Model!G342</f>
        <v>153.3506815</v>
      </c>
      <c r="C341" s="28">
        <f>DCA_Forecast_Model!H342</f>
        <v>1.973879283</v>
      </c>
      <c r="D341" s="29">
        <f>B341*'Economic Inputs Parameters'!$B$2</f>
        <v>460.0520446</v>
      </c>
      <c r="E341" s="29">
        <f>C341*'Economic Inputs Parameters'!$B$3</f>
        <v>138.1715498</v>
      </c>
      <c r="F341" s="29">
        <f t="shared" si="1"/>
        <v>598.2235944</v>
      </c>
      <c r="G341" s="28">
        <f>'Economic Inputs Parameters'!$B$4</f>
        <v>3000</v>
      </c>
      <c r="H341" s="28">
        <f t="shared" si="2"/>
        <v>-2401.776406</v>
      </c>
      <c r="I341" s="29">
        <v>0.0</v>
      </c>
      <c r="J341" s="28">
        <f t="shared" si="3"/>
        <v>-2401.776406</v>
      </c>
      <c r="K341" s="28">
        <f>1/(1+'Economic Inputs Parameters'!$B$5)^(A341)</f>
        <v>0.06169478531</v>
      </c>
      <c r="L341" s="28">
        <f t="shared" si="4"/>
        <v>-148.1770797</v>
      </c>
      <c r="M341" s="60">
        <f t="shared" si="6"/>
        <v>-5333402.842</v>
      </c>
    </row>
    <row r="342" ht="12.75" customHeight="1">
      <c r="A342" s="49">
        <f t="shared" si="5"/>
        <v>338</v>
      </c>
      <c r="B342" s="28">
        <f>DCA_Forecast_Model!G343</f>
        <v>150.6150637</v>
      </c>
      <c r="C342" s="28">
        <f>DCA_Forecast_Model!H343</f>
        <v>1.938667315</v>
      </c>
      <c r="D342" s="29">
        <f>B342*'Economic Inputs Parameters'!$B$2</f>
        <v>451.845191</v>
      </c>
      <c r="E342" s="29">
        <f>C342*'Economic Inputs Parameters'!$B$3</f>
        <v>135.706712</v>
      </c>
      <c r="F342" s="29">
        <f t="shared" si="1"/>
        <v>587.5519031</v>
      </c>
      <c r="G342" s="28">
        <f>'Economic Inputs Parameters'!$B$4</f>
        <v>3000</v>
      </c>
      <c r="H342" s="28">
        <f t="shared" si="2"/>
        <v>-2412.448097</v>
      </c>
      <c r="I342" s="29">
        <v>0.0</v>
      </c>
      <c r="J342" s="28">
        <f t="shared" si="3"/>
        <v>-2412.448097</v>
      </c>
      <c r="K342" s="28">
        <f>1/(1+'Economic Inputs Parameters'!$B$5)^(A342)</f>
        <v>0.06118693376</v>
      </c>
      <c r="L342" s="28">
        <f t="shared" si="4"/>
        <v>-147.6103019</v>
      </c>
      <c r="M342" s="60">
        <f t="shared" si="6"/>
        <v>-5333550.452</v>
      </c>
    </row>
    <row r="343" ht="12.75" customHeight="1">
      <c r="A343" s="49">
        <f t="shared" si="5"/>
        <v>339</v>
      </c>
      <c r="B343" s="28">
        <f>DCA_Forecast_Model!G344</f>
        <v>147.9282464</v>
      </c>
      <c r="C343" s="28">
        <f>DCA_Forecast_Model!H344</f>
        <v>1.904083491</v>
      </c>
      <c r="D343" s="29">
        <f>B343*'Economic Inputs Parameters'!$B$2</f>
        <v>443.7847393</v>
      </c>
      <c r="E343" s="29">
        <f>C343*'Economic Inputs Parameters'!$B$3</f>
        <v>133.2858444</v>
      </c>
      <c r="F343" s="29">
        <f t="shared" si="1"/>
        <v>577.0705837</v>
      </c>
      <c r="G343" s="28">
        <f>'Economic Inputs Parameters'!$B$4</f>
        <v>3000</v>
      </c>
      <c r="H343" s="28">
        <f t="shared" si="2"/>
        <v>-2422.929416</v>
      </c>
      <c r="I343" s="29">
        <v>0.0</v>
      </c>
      <c r="J343" s="28">
        <f t="shared" si="3"/>
        <v>-2422.929416</v>
      </c>
      <c r="K343" s="28">
        <f>1/(1+'Economic Inputs Parameters'!$B$5)^(A343)</f>
        <v>0.06068326268</v>
      </c>
      <c r="L343" s="28">
        <f t="shared" si="4"/>
        <v>-147.0312622</v>
      </c>
      <c r="M343" s="60">
        <f t="shared" si="6"/>
        <v>-5333697.483</v>
      </c>
    </row>
    <row r="344" ht="12.75" customHeight="1">
      <c r="A344" s="49">
        <f t="shared" si="5"/>
        <v>340</v>
      </c>
      <c r="B344" s="28">
        <f>DCA_Forecast_Model!G345</f>
        <v>145.2893592</v>
      </c>
      <c r="C344" s="28">
        <f>DCA_Forecast_Model!H345</f>
        <v>1.870116607</v>
      </c>
      <c r="D344" s="29">
        <f>B344*'Economic Inputs Parameters'!$B$2</f>
        <v>435.8680777</v>
      </c>
      <c r="E344" s="29">
        <f>C344*'Economic Inputs Parameters'!$B$3</f>
        <v>130.9081625</v>
      </c>
      <c r="F344" s="29">
        <f t="shared" si="1"/>
        <v>566.7762402</v>
      </c>
      <c r="G344" s="28">
        <f>'Economic Inputs Parameters'!$B$4</f>
        <v>3000</v>
      </c>
      <c r="H344" s="28">
        <f t="shared" si="2"/>
        <v>-2433.22376</v>
      </c>
      <c r="I344" s="29">
        <v>0.0</v>
      </c>
      <c r="J344" s="28">
        <f t="shared" si="3"/>
        <v>-2433.22376</v>
      </c>
      <c r="K344" s="28">
        <f>1/(1+'Economic Inputs Parameters'!$B$5)^(A344)</f>
        <v>0.06018373765</v>
      </c>
      <c r="L344" s="28">
        <f t="shared" si="4"/>
        <v>-146.4405004</v>
      </c>
      <c r="M344" s="60">
        <f t="shared" si="6"/>
        <v>-5333843.924</v>
      </c>
    </row>
    <row r="345" ht="12.75" customHeight="1">
      <c r="A345" s="49">
        <f t="shared" si="5"/>
        <v>341</v>
      </c>
      <c r="B345" s="28">
        <f>DCA_Forecast_Model!G346</f>
        <v>142.6975471</v>
      </c>
      <c r="C345" s="28">
        <f>DCA_Forecast_Model!H346</f>
        <v>1.836755658</v>
      </c>
      <c r="D345" s="29">
        <f>B345*'Economic Inputs Parameters'!$B$2</f>
        <v>428.0926412</v>
      </c>
      <c r="E345" s="29">
        <f>C345*'Economic Inputs Parameters'!$B$3</f>
        <v>128.572896</v>
      </c>
      <c r="F345" s="29">
        <f t="shared" si="1"/>
        <v>556.6655372</v>
      </c>
      <c r="G345" s="28">
        <f>'Economic Inputs Parameters'!$B$4</f>
        <v>3000</v>
      </c>
      <c r="H345" s="28">
        <f t="shared" si="2"/>
        <v>-2443.334463</v>
      </c>
      <c r="I345" s="29">
        <v>0.0</v>
      </c>
      <c r="J345" s="28">
        <f t="shared" si="3"/>
        <v>-2443.334463</v>
      </c>
      <c r="K345" s="28">
        <f>1/(1+'Economic Inputs Parameters'!$B$5)^(A345)</f>
        <v>0.05968832456</v>
      </c>
      <c r="L345" s="28">
        <f t="shared" si="4"/>
        <v>-145.8385404</v>
      </c>
      <c r="M345" s="60">
        <f t="shared" si="6"/>
        <v>-5333989.762</v>
      </c>
    </row>
    <row r="346" ht="12.75" customHeight="1">
      <c r="A346" s="49">
        <f t="shared" si="5"/>
        <v>342</v>
      </c>
      <c r="B346" s="28">
        <f>DCA_Forecast_Model!G347</f>
        <v>140.1519701</v>
      </c>
      <c r="C346" s="28">
        <f>DCA_Forecast_Model!H347</f>
        <v>1.803989833</v>
      </c>
      <c r="D346" s="29">
        <f>B346*'Economic Inputs Parameters'!$B$2</f>
        <v>420.4559104</v>
      </c>
      <c r="E346" s="29">
        <f>C346*'Economic Inputs Parameters'!$B$3</f>
        <v>126.2792883</v>
      </c>
      <c r="F346" s="29">
        <f t="shared" si="1"/>
        <v>546.7351987</v>
      </c>
      <c r="G346" s="28">
        <f>'Economic Inputs Parameters'!$B$4</f>
        <v>3000</v>
      </c>
      <c r="H346" s="28">
        <f t="shared" si="2"/>
        <v>-2453.264801</v>
      </c>
      <c r="I346" s="29">
        <v>0.0</v>
      </c>
      <c r="J346" s="28">
        <f t="shared" si="3"/>
        <v>-2453.264801</v>
      </c>
      <c r="K346" s="28">
        <f>1/(1+'Economic Inputs Parameters'!$B$5)^(A346)</f>
        <v>0.05919698955</v>
      </c>
      <c r="L346" s="28">
        <f t="shared" si="4"/>
        <v>-145.2258908</v>
      </c>
      <c r="M346" s="60">
        <f t="shared" si="6"/>
        <v>-5334134.988</v>
      </c>
    </row>
    <row r="347" ht="12.75" customHeight="1">
      <c r="A347" s="49">
        <f t="shared" si="5"/>
        <v>343</v>
      </c>
      <c r="B347" s="28">
        <f>DCA_Forecast_Model!G348</f>
        <v>137.6518037</v>
      </c>
      <c r="C347" s="28">
        <f>DCA_Forecast_Model!H348</f>
        <v>1.771808517</v>
      </c>
      <c r="D347" s="29">
        <f>B347*'Economic Inputs Parameters'!$B$2</f>
        <v>412.955411</v>
      </c>
      <c r="E347" s="29">
        <f>C347*'Economic Inputs Parameters'!$B$3</f>
        <v>124.0265962</v>
      </c>
      <c r="F347" s="29">
        <f t="shared" si="1"/>
        <v>536.9820072</v>
      </c>
      <c r="G347" s="28">
        <f>'Economic Inputs Parameters'!$B$4</f>
        <v>3000</v>
      </c>
      <c r="H347" s="28">
        <f t="shared" si="2"/>
        <v>-2463.017993</v>
      </c>
      <c r="I347" s="29">
        <v>0.0</v>
      </c>
      <c r="J347" s="28">
        <f t="shared" si="3"/>
        <v>-2463.017993</v>
      </c>
      <c r="K347" s="28">
        <f>1/(1+'Economic Inputs Parameters'!$B$5)^(A347)</f>
        <v>0.05870969905</v>
      </c>
      <c r="L347" s="28">
        <f t="shared" si="4"/>
        <v>-144.6030451</v>
      </c>
      <c r="M347" s="60">
        <f t="shared" si="6"/>
        <v>-5334279.591</v>
      </c>
    </row>
    <row r="348" ht="12.75" customHeight="1">
      <c r="A348" s="49">
        <f t="shared" si="5"/>
        <v>344</v>
      </c>
      <c r="B348" s="28">
        <f>DCA_Forecast_Model!G349</f>
        <v>135.1962376</v>
      </c>
      <c r="C348" s="28">
        <f>DCA_Forecast_Model!H349</f>
        <v>1.740201282</v>
      </c>
      <c r="D348" s="29">
        <f>B348*'Economic Inputs Parameters'!$B$2</f>
        <v>405.5887128</v>
      </c>
      <c r="E348" s="29">
        <f>C348*'Economic Inputs Parameters'!$B$3</f>
        <v>121.8140897</v>
      </c>
      <c r="F348" s="29">
        <f t="shared" si="1"/>
        <v>527.4028025</v>
      </c>
      <c r="G348" s="28">
        <f>'Economic Inputs Parameters'!$B$4</f>
        <v>3000</v>
      </c>
      <c r="H348" s="28">
        <f t="shared" si="2"/>
        <v>-2472.597197</v>
      </c>
      <c r="I348" s="29">
        <v>0.0</v>
      </c>
      <c r="J348" s="28">
        <f t="shared" si="3"/>
        <v>-2472.597197</v>
      </c>
      <c r="K348" s="28">
        <f>1/(1+'Economic Inputs Parameters'!$B$5)^(A348)</f>
        <v>0.05822641976</v>
      </c>
      <c r="L348" s="28">
        <f t="shared" si="4"/>
        <v>-143.9704823</v>
      </c>
      <c r="M348" s="60">
        <f t="shared" si="6"/>
        <v>-5334423.562</v>
      </c>
    </row>
    <row r="349" ht="12.75" customHeight="1">
      <c r="A349" s="49">
        <f t="shared" si="5"/>
        <v>345</v>
      </c>
      <c r="B349" s="28">
        <f>DCA_Forecast_Model!G350</f>
        <v>132.7844763</v>
      </c>
      <c r="C349" s="28">
        <f>DCA_Forecast_Model!H350</f>
        <v>1.709157888</v>
      </c>
      <c r="D349" s="29">
        <f>B349*'Economic Inputs Parameters'!$B$2</f>
        <v>398.3534289</v>
      </c>
      <c r="E349" s="29">
        <f>C349*'Economic Inputs Parameters'!$B$3</f>
        <v>119.6410521</v>
      </c>
      <c r="F349" s="29">
        <f t="shared" si="1"/>
        <v>517.994481</v>
      </c>
      <c r="G349" s="28">
        <f>'Economic Inputs Parameters'!$B$4</f>
        <v>3000</v>
      </c>
      <c r="H349" s="28">
        <f t="shared" si="2"/>
        <v>-2482.005519</v>
      </c>
      <c r="I349" s="29">
        <v>0.0</v>
      </c>
      <c r="J349" s="28">
        <f t="shared" si="3"/>
        <v>-2482.005519</v>
      </c>
      <c r="K349" s="28">
        <f>1/(1+'Economic Inputs Parameters'!$B$5)^(A349)</f>
        <v>0.05774711868</v>
      </c>
      <c r="L349" s="28">
        <f t="shared" si="4"/>
        <v>-143.3286673</v>
      </c>
      <c r="M349" s="60">
        <f t="shared" si="6"/>
        <v>-5334566.89</v>
      </c>
    </row>
    <row r="350" ht="12.75" customHeight="1">
      <c r="A350" s="49">
        <f t="shared" si="5"/>
        <v>346</v>
      </c>
      <c r="B350" s="28">
        <f>DCA_Forecast_Model!G351</f>
        <v>130.4157383</v>
      </c>
      <c r="C350" s="28">
        <f>DCA_Forecast_Model!H351</f>
        <v>1.678668275</v>
      </c>
      <c r="D350" s="29">
        <f>B350*'Economic Inputs Parameters'!$B$2</f>
        <v>391.2472149</v>
      </c>
      <c r="E350" s="29">
        <f>C350*'Economic Inputs Parameters'!$B$3</f>
        <v>117.5067793</v>
      </c>
      <c r="F350" s="29">
        <f t="shared" si="1"/>
        <v>508.7539942</v>
      </c>
      <c r="G350" s="28">
        <f>'Economic Inputs Parameters'!$B$4</f>
        <v>3000</v>
      </c>
      <c r="H350" s="28">
        <f t="shared" si="2"/>
        <v>-2491.246006</v>
      </c>
      <c r="I350" s="29">
        <v>0.0</v>
      </c>
      <c r="J350" s="28">
        <f t="shared" si="3"/>
        <v>-2491.246006</v>
      </c>
      <c r="K350" s="28">
        <f>1/(1+'Economic Inputs Parameters'!$B$5)^(A350)</f>
        <v>0.05727176304</v>
      </c>
      <c r="L350" s="28">
        <f t="shared" si="4"/>
        <v>-142.6780509</v>
      </c>
      <c r="M350" s="60">
        <f t="shared" si="6"/>
        <v>-5334709.568</v>
      </c>
    </row>
    <row r="351" ht="12.75" customHeight="1">
      <c r="A351" s="49">
        <f t="shared" si="5"/>
        <v>347</v>
      </c>
      <c r="B351" s="28">
        <f>DCA_Forecast_Model!G352</f>
        <v>128.0892562</v>
      </c>
      <c r="C351" s="28">
        <f>DCA_Forecast_Model!H352</f>
        <v>1.648722566</v>
      </c>
      <c r="D351" s="29">
        <f>B351*'Economic Inputs Parameters'!$B$2</f>
        <v>384.2677685</v>
      </c>
      <c r="E351" s="29">
        <f>C351*'Economic Inputs Parameters'!$B$3</f>
        <v>115.4105796</v>
      </c>
      <c r="F351" s="29">
        <f t="shared" si="1"/>
        <v>499.6783482</v>
      </c>
      <c r="G351" s="28">
        <f>'Economic Inputs Parameters'!$B$4</f>
        <v>3000</v>
      </c>
      <c r="H351" s="28">
        <f t="shared" si="2"/>
        <v>-2500.321652</v>
      </c>
      <c r="I351" s="29">
        <v>0.0</v>
      </c>
      <c r="J351" s="28">
        <f t="shared" si="3"/>
        <v>-2500.321652</v>
      </c>
      <c r="K351" s="28">
        <f>1/(1+'Economic Inputs Parameters'!$B$5)^(A351)</f>
        <v>0.05680032038</v>
      </c>
      <c r="L351" s="28">
        <f t="shared" si="4"/>
        <v>-142.0190709</v>
      </c>
      <c r="M351" s="60">
        <f t="shared" si="6"/>
        <v>-5334851.588</v>
      </c>
    </row>
    <row r="352" ht="12.75" customHeight="1">
      <c r="A352" s="49">
        <f t="shared" si="5"/>
        <v>348</v>
      </c>
      <c r="B352" s="28">
        <f>DCA_Forecast_Model!G353</f>
        <v>125.8042761</v>
      </c>
      <c r="C352" s="28">
        <f>DCA_Forecast_Model!H353</f>
        <v>1.619311058</v>
      </c>
      <c r="D352" s="29">
        <f>B352*'Economic Inputs Parameters'!$B$2</f>
        <v>377.4128282</v>
      </c>
      <c r="E352" s="29">
        <f>C352*'Economic Inputs Parameters'!$B$3</f>
        <v>113.351774</v>
      </c>
      <c r="F352" s="29">
        <f t="shared" si="1"/>
        <v>490.7646023</v>
      </c>
      <c r="G352" s="28">
        <f>'Economic Inputs Parameters'!$B$4</f>
        <v>3000</v>
      </c>
      <c r="H352" s="28">
        <f t="shared" si="2"/>
        <v>-2509.235398</v>
      </c>
      <c r="I352" s="29">
        <v>0.0</v>
      </c>
      <c r="J352" s="28">
        <f t="shared" si="3"/>
        <v>-2509.235398</v>
      </c>
      <c r="K352" s="28">
        <f>1/(1+'Economic Inputs Parameters'!$B$5)^(A352)</f>
        <v>0.05633275849</v>
      </c>
      <c r="L352" s="28">
        <f t="shared" si="4"/>
        <v>-141.3521516</v>
      </c>
      <c r="M352" s="60">
        <f t="shared" si="6"/>
        <v>-5334992.94</v>
      </c>
    </row>
    <row r="353" ht="12.75" customHeight="1">
      <c r="A353" s="49">
        <f t="shared" si="5"/>
        <v>349</v>
      </c>
      <c r="B353" s="28">
        <f>DCA_Forecast_Model!G354</f>
        <v>123.5600577</v>
      </c>
      <c r="C353" s="28">
        <f>DCA_Forecast_Model!H354</f>
        <v>1.59042422</v>
      </c>
      <c r="D353" s="29">
        <f>B353*'Economic Inputs Parameters'!$B$2</f>
        <v>370.680173</v>
      </c>
      <c r="E353" s="29">
        <f>C353*'Economic Inputs Parameters'!$B$3</f>
        <v>111.3296954</v>
      </c>
      <c r="F353" s="29">
        <f t="shared" si="1"/>
        <v>482.0098684</v>
      </c>
      <c r="G353" s="28">
        <f>'Economic Inputs Parameters'!$B$4</f>
        <v>3000</v>
      </c>
      <c r="H353" s="28">
        <f t="shared" si="2"/>
        <v>-2517.990132</v>
      </c>
      <c r="I353" s="29">
        <v>0.0</v>
      </c>
      <c r="J353" s="28">
        <f t="shared" si="3"/>
        <v>-2517.990132</v>
      </c>
      <c r="K353" s="28">
        <f>1/(1+'Economic Inputs Parameters'!$B$5)^(A353)</f>
        <v>0.05586904541</v>
      </c>
      <c r="L353" s="28">
        <f t="shared" si="4"/>
        <v>-140.677705</v>
      </c>
      <c r="M353" s="60">
        <f t="shared" si="6"/>
        <v>-5335133.617</v>
      </c>
    </row>
    <row r="354" ht="12.75" customHeight="1">
      <c r="A354" s="49">
        <f t="shared" si="5"/>
        <v>350</v>
      </c>
      <c r="B354" s="28">
        <f>DCA_Forecast_Model!G355</f>
        <v>121.3558738</v>
      </c>
      <c r="C354" s="28">
        <f>DCA_Forecast_Model!H355</f>
        <v>1.562052694</v>
      </c>
      <c r="D354" s="29">
        <f>B354*'Economic Inputs Parameters'!$B$2</f>
        <v>364.0676214</v>
      </c>
      <c r="E354" s="29">
        <f>C354*'Economic Inputs Parameters'!$B$3</f>
        <v>109.3436886</v>
      </c>
      <c r="F354" s="29">
        <f t="shared" si="1"/>
        <v>473.41131</v>
      </c>
      <c r="G354" s="28">
        <f>'Economic Inputs Parameters'!$B$4</f>
        <v>3000</v>
      </c>
      <c r="H354" s="28">
        <f t="shared" si="2"/>
        <v>-2526.58869</v>
      </c>
      <c r="I354" s="29">
        <v>0.0</v>
      </c>
      <c r="J354" s="28">
        <f t="shared" si="3"/>
        <v>-2526.58869</v>
      </c>
      <c r="K354" s="28">
        <f>1/(1+'Economic Inputs Parameters'!$B$5)^(A354)</f>
        <v>0.05540914947</v>
      </c>
      <c r="L354" s="28">
        <f t="shared" si="4"/>
        <v>-139.9961304</v>
      </c>
      <c r="M354" s="60">
        <f t="shared" si="6"/>
        <v>-5335273.614</v>
      </c>
    </row>
    <row r="355" ht="12.75" customHeight="1">
      <c r="A355" s="49">
        <f t="shared" si="5"/>
        <v>351</v>
      </c>
      <c r="B355" s="28">
        <f>DCA_Forecast_Model!G356</f>
        <v>119.1910103</v>
      </c>
      <c r="C355" s="28">
        <f>DCA_Forecast_Model!H356</f>
        <v>1.534187287</v>
      </c>
      <c r="D355" s="29">
        <f>B355*'Economic Inputs Parameters'!$B$2</f>
        <v>357.5730309</v>
      </c>
      <c r="E355" s="29">
        <f>C355*'Economic Inputs Parameters'!$B$3</f>
        <v>107.3931101</v>
      </c>
      <c r="F355" s="29">
        <f t="shared" si="1"/>
        <v>464.9661409</v>
      </c>
      <c r="G355" s="28">
        <f>'Economic Inputs Parameters'!$B$4</f>
        <v>3000</v>
      </c>
      <c r="H355" s="28">
        <f t="shared" si="2"/>
        <v>-2535.033859</v>
      </c>
      <c r="I355" s="29">
        <v>0.0</v>
      </c>
      <c r="J355" s="28">
        <f t="shared" si="3"/>
        <v>-2535.033859</v>
      </c>
      <c r="K355" s="28">
        <f>1/(1+'Economic Inputs Parameters'!$B$5)^(A355)</f>
        <v>0.05495303925</v>
      </c>
      <c r="L355" s="28">
        <f t="shared" si="4"/>
        <v>-139.3078151</v>
      </c>
      <c r="M355" s="60">
        <f t="shared" si="6"/>
        <v>-5335412.921</v>
      </c>
    </row>
    <row r="356" ht="12.75" customHeight="1">
      <c r="A356" s="49">
        <f t="shared" si="5"/>
        <v>352</v>
      </c>
      <c r="B356" s="28">
        <f>DCA_Forecast_Model!G357</f>
        <v>117.0647657</v>
      </c>
      <c r="C356" s="28">
        <f>DCA_Forecast_Model!H357</f>
        <v>1.506818969</v>
      </c>
      <c r="D356" s="29">
        <f>B356*'Economic Inputs Parameters'!$B$2</f>
        <v>351.1942972</v>
      </c>
      <c r="E356" s="29">
        <f>C356*'Economic Inputs Parameters'!$B$3</f>
        <v>105.4773278</v>
      </c>
      <c r="F356" s="29">
        <f t="shared" si="1"/>
        <v>456.671625</v>
      </c>
      <c r="G356" s="28">
        <f>'Economic Inputs Parameters'!$B$4</f>
        <v>3000</v>
      </c>
      <c r="H356" s="28">
        <f t="shared" si="2"/>
        <v>-2543.328375</v>
      </c>
      <c r="I356" s="29">
        <v>0.0</v>
      </c>
      <c r="J356" s="28">
        <f t="shared" si="3"/>
        <v>-2543.328375</v>
      </c>
      <c r="K356" s="28">
        <f>1/(1+'Economic Inputs Parameters'!$B$5)^(A356)</f>
        <v>0.05450068357</v>
      </c>
      <c r="L356" s="28">
        <f t="shared" si="4"/>
        <v>-138.613135</v>
      </c>
      <c r="M356" s="60">
        <f t="shared" si="6"/>
        <v>-5335551.534</v>
      </c>
    </row>
    <row r="357" ht="12.75" customHeight="1">
      <c r="A357" s="49">
        <f t="shared" si="5"/>
        <v>353</v>
      </c>
      <c r="B357" s="28">
        <f>DCA_Forecast_Model!G358</f>
        <v>114.9764512</v>
      </c>
      <c r="C357" s="28">
        <f>DCA_Forecast_Model!H358</f>
        <v>1.479938874</v>
      </c>
      <c r="D357" s="29">
        <f>B357*'Economic Inputs Parameters'!$B$2</f>
        <v>344.9293535</v>
      </c>
      <c r="E357" s="29">
        <f>C357*'Economic Inputs Parameters'!$B$3</f>
        <v>103.5957212</v>
      </c>
      <c r="F357" s="29">
        <f t="shared" si="1"/>
        <v>448.5250747</v>
      </c>
      <c r="G357" s="28">
        <f>'Economic Inputs Parameters'!$B$4</f>
        <v>3000</v>
      </c>
      <c r="H357" s="28">
        <f t="shared" si="2"/>
        <v>-2551.474925</v>
      </c>
      <c r="I357" s="29">
        <v>0.0</v>
      </c>
      <c r="J357" s="28">
        <f t="shared" si="3"/>
        <v>-2551.474925</v>
      </c>
      <c r="K357" s="28">
        <f>1/(1+'Economic Inputs Parameters'!$B$5)^(A357)</f>
        <v>0.05405205154</v>
      </c>
      <c r="L357" s="28">
        <f t="shared" si="4"/>
        <v>-137.9124542</v>
      </c>
      <c r="M357" s="60">
        <f t="shared" si="6"/>
        <v>-5335689.447</v>
      </c>
    </row>
    <row r="358" ht="12.75" customHeight="1">
      <c r="A358" s="49">
        <f t="shared" si="5"/>
        <v>354</v>
      </c>
      <c r="B358" s="28">
        <f>DCA_Forecast_Model!G359</f>
        <v>112.92539</v>
      </c>
      <c r="C358" s="28">
        <f>DCA_Forecast_Model!H359</f>
        <v>1.453538293</v>
      </c>
      <c r="D358" s="29">
        <f>B358*'Economic Inputs Parameters'!$B$2</f>
        <v>338.7761699</v>
      </c>
      <c r="E358" s="29">
        <f>C358*'Economic Inputs Parameters'!$B$3</f>
        <v>101.7476805</v>
      </c>
      <c r="F358" s="29">
        <f t="shared" si="1"/>
        <v>440.5238504</v>
      </c>
      <c r="G358" s="28">
        <f>'Economic Inputs Parameters'!$B$4</f>
        <v>3000</v>
      </c>
      <c r="H358" s="28">
        <f t="shared" si="2"/>
        <v>-2559.47615</v>
      </c>
      <c r="I358" s="29">
        <v>0.0</v>
      </c>
      <c r="J358" s="28">
        <f t="shared" si="3"/>
        <v>-2559.47615</v>
      </c>
      <c r="K358" s="28">
        <f>1/(1+'Economic Inputs Parameters'!$B$5)^(A358)</f>
        <v>0.05360711251</v>
      </c>
      <c r="L358" s="28">
        <f t="shared" si="4"/>
        <v>-137.2061259</v>
      </c>
      <c r="M358" s="60">
        <f t="shared" si="6"/>
        <v>-5335826.653</v>
      </c>
    </row>
    <row r="359" ht="12.75" customHeight="1">
      <c r="A359" s="49">
        <f t="shared" si="5"/>
        <v>355</v>
      </c>
      <c r="B359" s="28">
        <f>DCA_Forecast_Model!G360</f>
        <v>110.9109176</v>
      </c>
      <c r="C359" s="28">
        <f>DCA_Forecast_Model!H360</f>
        <v>1.42760867</v>
      </c>
      <c r="D359" s="29">
        <f>B359*'Economic Inputs Parameters'!$B$2</f>
        <v>332.7327527</v>
      </c>
      <c r="E359" s="29">
        <f>C359*'Economic Inputs Parameters'!$B$3</f>
        <v>99.93260691</v>
      </c>
      <c r="F359" s="29">
        <f t="shared" si="1"/>
        <v>432.6653597</v>
      </c>
      <c r="G359" s="28">
        <f>'Economic Inputs Parameters'!$B$4</f>
        <v>3000</v>
      </c>
      <c r="H359" s="28">
        <f t="shared" si="2"/>
        <v>-2567.33464</v>
      </c>
      <c r="I359" s="29">
        <v>0.0</v>
      </c>
      <c r="J359" s="28">
        <f t="shared" si="3"/>
        <v>-2567.33464</v>
      </c>
      <c r="K359" s="28">
        <f>1/(1+'Economic Inputs Parameters'!$B$5)^(A359)</f>
        <v>0.05316583607</v>
      </c>
      <c r="L359" s="28">
        <f t="shared" si="4"/>
        <v>-136.4944926</v>
      </c>
      <c r="M359" s="60">
        <f t="shared" si="6"/>
        <v>-5335963.148</v>
      </c>
    </row>
    <row r="360" ht="12.75" customHeight="1">
      <c r="A360" s="49">
        <f t="shared" si="5"/>
        <v>356</v>
      </c>
      <c r="B360" s="28">
        <f>DCA_Forecast_Model!G361</f>
        <v>108.9323813</v>
      </c>
      <c r="C360" s="28">
        <f>DCA_Forecast_Model!H361</f>
        <v>1.402141605</v>
      </c>
      <c r="D360" s="29">
        <f>B360*'Economic Inputs Parameters'!$B$2</f>
        <v>326.7971439</v>
      </c>
      <c r="E360" s="29">
        <f>C360*'Economic Inputs Parameters'!$B$3</f>
        <v>98.14991237</v>
      </c>
      <c r="F360" s="29">
        <f t="shared" si="1"/>
        <v>424.9470563</v>
      </c>
      <c r="G360" s="28">
        <f>'Economic Inputs Parameters'!$B$4</f>
        <v>3000</v>
      </c>
      <c r="H360" s="28">
        <f t="shared" si="2"/>
        <v>-2575.052944</v>
      </c>
      <c r="I360" s="29">
        <v>0.0</v>
      </c>
      <c r="J360" s="28">
        <f t="shared" si="3"/>
        <v>-2575.052944</v>
      </c>
      <c r="K360" s="28">
        <f>1/(1+'Economic Inputs Parameters'!$B$5)^(A360)</f>
        <v>0.05272819208</v>
      </c>
      <c r="L360" s="28">
        <f t="shared" si="4"/>
        <v>-135.7778862</v>
      </c>
      <c r="M360" s="60">
        <f t="shared" si="6"/>
        <v>-5336098.925</v>
      </c>
    </row>
    <row r="361" ht="12.75" customHeight="1">
      <c r="A361" s="49">
        <f t="shared" si="5"/>
        <v>357</v>
      </c>
      <c r="B361" s="28">
        <f>DCA_Forecast_Model!G362</f>
        <v>106.9891401</v>
      </c>
      <c r="C361" s="28">
        <f>DCA_Forecast_Model!H362</f>
        <v>1.377128847</v>
      </c>
      <c r="D361" s="29">
        <f>B361*'Economic Inputs Parameters'!$B$2</f>
        <v>320.9674203</v>
      </c>
      <c r="E361" s="29">
        <f>C361*'Economic Inputs Parameters'!$B$3</f>
        <v>96.39901926</v>
      </c>
      <c r="F361" s="29">
        <f t="shared" si="1"/>
        <v>417.3664395</v>
      </c>
      <c r="G361" s="28">
        <f>'Economic Inputs Parameters'!$B$4</f>
        <v>3000</v>
      </c>
      <c r="H361" s="28">
        <f t="shared" si="2"/>
        <v>-2582.63356</v>
      </c>
      <c r="I361" s="29">
        <v>0.0</v>
      </c>
      <c r="J361" s="28">
        <f t="shared" si="3"/>
        <v>-2582.63356</v>
      </c>
      <c r="K361" s="28">
        <f>1/(1+'Economic Inputs Parameters'!$B$5)^(A361)</f>
        <v>0.05229415063</v>
      </c>
      <c r="L361" s="28">
        <f t="shared" si="4"/>
        <v>-135.0566284</v>
      </c>
      <c r="M361" s="60">
        <f t="shared" si="6"/>
        <v>-5336233.982</v>
      </c>
    </row>
    <row r="362" ht="12.75" customHeight="1">
      <c r="A362" s="49">
        <f t="shared" si="5"/>
        <v>358</v>
      </c>
      <c r="B362" s="28">
        <f>DCA_Forecast_Model!G363</f>
        <v>105.0805643</v>
      </c>
      <c r="C362" s="28">
        <f>DCA_Forecast_Model!H363</f>
        <v>1.35256229</v>
      </c>
      <c r="D362" s="29">
        <f>B362*'Economic Inputs Parameters'!$B$2</f>
        <v>315.2416928</v>
      </c>
      <c r="E362" s="29">
        <f>C362*'Economic Inputs Parameters'!$B$3</f>
        <v>94.67936027</v>
      </c>
      <c r="F362" s="29">
        <f t="shared" si="1"/>
        <v>409.9210531</v>
      </c>
      <c r="G362" s="28">
        <f>'Economic Inputs Parameters'!$B$4</f>
        <v>3000</v>
      </c>
      <c r="H362" s="28">
        <f t="shared" si="2"/>
        <v>-2590.078947</v>
      </c>
      <c r="I362" s="29">
        <v>0.0</v>
      </c>
      <c r="J362" s="28">
        <f t="shared" si="3"/>
        <v>-2590.078947</v>
      </c>
      <c r="K362" s="28">
        <f>1/(1+'Economic Inputs Parameters'!$B$5)^(A362)</f>
        <v>0.05186368206</v>
      </c>
      <c r="L362" s="28">
        <f t="shared" si="4"/>
        <v>-134.331031</v>
      </c>
      <c r="M362" s="60">
        <f t="shared" si="6"/>
        <v>-5336368.313</v>
      </c>
    </row>
    <row r="363" ht="12.75" customHeight="1">
      <c r="A363" s="49">
        <f t="shared" si="5"/>
        <v>359</v>
      </c>
      <c r="B363" s="28">
        <f>DCA_Forecast_Model!G364</f>
        <v>103.2060355</v>
      </c>
      <c r="C363" s="28">
        <f>DCA_Forecast_Model!H364</f>
        <v>1.328433975</v>
      </c>
      <c r="D363" s="29">
        <f>B363*'Economic Inputs Parameters'!$B$2</f>
        <v>309.6181065</v>
      </c>
      <c r="E363" s="29">
        <f>C363*'Economic Inputs Parameters'!$B$3</f>
        <v>92.99037823</v>
      </c>
      <c r="F363" s="29">
        <f t="shared" si="1"/>
        <v>402.6084847</v>
      </c>
      <c r="G363" s="28">
        <f>'Economic Inputs Parameters'!$B$4</f>
        <v>3000</v>
      </c>
      <c r="H363" s="28">
        <f t="shared" si="2"/>
        <v>-2597.391515</v>
      </c>
      <c r="I363" s="29">
        <v>0.0</v>
      </c>
      <c r="J363" s="28">
        <f t="shared" si="3"/>
        <v>-2597.391515</v>
      </c>
      <c r="K363" s="28">
        <f>1/(1+'Economic Inputs Parameters'!$B$5)^(A363)</f>
        <v>0.05143675698</v>
      </c>
      <c r="L363" s="28">
        <f t="shared" si="4"/>
        <v>-133.6013962</v>
      </c>
      <c r="M363" s="60">
        <f t="shared" si="6"/>
        <v>-5336501.914</v>
      </c>
    </row>
    <row r="364" ht="12.75" customHeight="1">
      <c r="A364" s="49">
        <f t="shared" si="5"/>
        <v>360</v>
      </c>
      <c r="B364" s="28">
        <f>DCA_Forecast_Model!G365</f>
        <v>101.3649464</v>
      </c>
      <c r="C364" s="28">
        <f>DCA_Forecast_Model!H365</f>
        <v>1.304736084</v>
      </c>
      <c r="D364" s="29">
        <f>B364*'Economic Inputs Parameters'!$B$2</f>
        <v>304.0948391</v>
      </c>
      <c r="E364" s="29">
        <f>C364*'Economic Inputs Parameters'!$B$3</f>
        <v>91.33152588</v>
      </c>
      <c r="F364" s="29">
        <f t="shared" si="1"/>
        <v>395.426365</v>
      </c>
      <c r="G364" s="28">
        <f>'Economic Inputs Parameters'!$B$4</f>
        <v>3000</v>
      </c>
      <c r="H364" s="28">
        <f t="shared" si="2"/>
        <v>-2604.573635</v>
      </c>
      <c r="I364" s="29">
        <v>0.0</v>
      </c>
      <c r="J364" s="28">
        <f t="shared" si="3"/>
        <v>-2604.573635</v>
      </c>
      <c r="K364" s="28">
        <f>1/(1+'Economic Inputs Parameters'!$B$5)^(A364)</f>
        <v>0.05101334621</v>
      </c>
      <c r="L364" s="28">
        <f t="shared" si="4"/>
        <v>-132.8680166</v>
      </c>
      <c r="M364" s="60">
        <f t="shared" si="6"/>
        <v>-5336634.782</v>
      </c>
    </row>
    <row r="365" ht="12.75" customHeight="1">
      <c r="A365" s="49">
        <f t="shared" si="5"/>
        <v>361</v>
      </c>
      <c r="B365" s="28">
        <f>DCA_Forecast_Model!G366</f>
        <v>99.55670037</v>
      </c>
      <c r="C365" s="28">
        <f>DCA_Forecast_Model!H366</f>
        <v>1.281460939</v>
      </c>
      <c r="D365" s="29">
        <f>B365*'Economic Inputs Parameters'!$B$2</f>
        <v>298.6701011</v>
      </c>
      <c r="E365" s="29">
        <f>C365*'Economic Inputs Parameters'!$B$3</f>
        <v>89.70226574</v>
      </c>
      <c r="F365" s="29">
        <f t="shared" si="1"/>
        <v>388.3723668</v>
      </c>
      <c r="G365" s="28">
        <f>'Economic Inputs Parameters'!$B$4</f>
        <v>3000</v>
      </c>
      <c r="H365" s="28">
        <f t="shared" si="2"/>
        <v>-2611.627633</v>
      </c>
      <c r="I365" s="29">
        <v>0.0</v>
      </c>
      <c r="J365" s="28">
        <f t="shared" si="3"/>
        <v>-2611.627633</v>
      </c>
      <c r="K365" s="28">
        <f>1/(1+'Economic Inputs Parameters'!$B$5)^(A365)</f>
        <v>0.05059342082</v>
      </c>
      <c r="L365" s="28">
        <f t="shared" si="4"/>
        <v>-132.1311759</v>
      </c>
      <c r="M365" s="60">
        <f t="shared" si="6"/>
        <v>-5336766.914</v>
      </c>
    </row>
    <row r="366" ht="12.75" customHeight="1">
      <c r="A366" s="49">
        <f t="shared" si="5"/>
        <v>362</v>
      </c>
      <c r="B366" s="28">
        <f>DCA_Forecast_Model!G367</f>
        <v>97.78071161</v>
      </c>
      <c r="C366" s="28">
        <f>DCA_Forecast_Model!H367</f>
        <v>1.258600999</v>
      </c>
      <c r="D366" s="29">
        <f>B366*'Economic Inputs Parameters'!$B$2</f>
        <v>293.3421348</v>
      </c>
      <c r="E366" s="29">
        <f>C366*'Economic Inputs Parameters'!$B$3</f>
        <v>88.10206993</v>
      </c>
      <c r="F366" s="29">
        <f t="shared" si="1"/>
        <v>381.4442048</v>
      </c>
      <c r="G366" s="28">
        <f>'Economic Inputs Parameters'!$B$4</f>
        <v>3000</v>
      </c>
      <c r="H366" s="28">
        <f t="shared" si="2"/>
        <v>-2618.555795</v>
      </c>
      <c r="I366" s="29">
        <v>0.0</v>
      </c>
      <c r="J366" s="28">
        <f t="shared" si="3"/>
        <v>-2618.555795</v>
      </c>
      <c r="K366" s="28">
        <f>1/(1+'Economic Inputs Parameters'!$B$5)^(A366)</f>
        <v>0.05017695211</v>
      </c>
      <c r="L366" s="28">
        <f t="shared" si="4"/>
        <v>-131.3911487</v>
      </c>
      <c r="M366" s="60">
        <f t="shared" si="6"/>
        <v>-5336898.305</v>
      </c>
    </row>
    <row r="367" ht="12.75" customHeight="1">
      <c r="A367" s="49">
        <f t="shared" si="5"/>
        <v>363</v>
      </c>
      <c r="B367" s="28">
        <f>DCA_Forecast_Model!G368</f>
        <v>96.03640466</v>
      </c>
      <c r="C367" s="28">
        <f>DCA_Forecast_Model!H368</f>
        <v>1.236148856</v>
      </c>
      <c r="D367" s="29">
        <f>B367*'Economic Inputs Parameters'!$B$2</f>
        <v>288.109214</v>
      </c>
      <c r="E367" s="29">
        <f>C367*'Economic Inputs Parameters'!$B$3</f>
        <v>86.53041995</v>
      </c>
      <c r="F367" s="29">
        <f t="shared" si="1"/>
        <v>374.6396339</v>
      </c>
      <c r="G367" s="28">
        <f>'Economic Inputs Parameters'!$B$4</f>
        <v>3000</v>
      </c>
      <c r="H367" s="28">
        <f t="shared" si="2"/>
        <v>-2625.360366</v>
      </c>
      <c r="I367" s="29">
        <v>0.0</v>
      </c>
      <c r="J367" s="28">
        <f t="shared" si="3"/>
        <v>-2625.360366</v>
      </c>
      <c r="K367" s="28">
        <f>1/(1+'Economic Inputs Parameters'!$B$5)^(A367)</f>
        <v>0.04976391165</v>
      </c>
      <c r="L367" s="28">
        <f t="shared" si="4"/>
        <v>-130.6482013</v>
      </c>
      <c r="M367" s="60">
        <f t="shared" si="6"/>
        <v>-5337028.953</v>
      </c>
    </row>
    <row r="368" ht="12.75" customHeight="1">
      <c r="A368" s="49">
        <f t="shared" si="5"/>
        <v>364</v>
      </c>
      <c r="B368" s="28">
        <f>DCA_Forecast_Model!G369</f>
        <v>94.32321434</v>
      </c>
      <c r="C368" s="28">
        <f>DCA_Forecast_Model!H369</f>
        <v>1.214097237</v>
      </c>
      <c r="D368" s="29">
        <f>B368*'Economic Inputs Parameters'!$B$2</f>
        <v>282.969643</v>
      </c>
      <c r="E368" s="29">
        <f>C368*'Economic Inputs Parameters'!$B$3</f>
        <v>84.98680659</v>
      </c>
      <c r="F368" s="29">
        <f t="shared" si="1"/>
        <v>367.9564496</v>
      </c>
      <c r="G368" s="28">
        <f>'Economic Inputs Parameters'!$B$4</f>
        <v>3000</v>
      </c>
      <c r="H368" s="28">
        <f t="shared" si="2"/>
        <v>-2632.04355</v>
      </c>
      <c r="I368" s="29">
        <v>0.0</v>
      </c>
      <c r="J368" s="28">
        <f t="shared" si="3"/>
        <v>-2632.04355</v>
      </c>
      <c r="K368" s="28">
        <f>1/(1+'Economic Inputs Parameters'!$B$5)^(A368)</f>
        <v>0.0493542712</v>
      </c>
      <c r="L368" s="28">
        <f t="shared" si="4"/>
        <v>-129.9025912</v>
      </c>
      <c r="M368" s="60">
        <f t="shared" si="6"/>
        <v>-5337158.856</v>
      </c>
    </row>
    <row r="369" ht="12.75" customHeight="1">
      <c r="A369" s="49">
        <f t="shared" si="5"/>
        <v>365</v>
      </c>
      <c r="B369" s="28">
        <f>DCA_Forecast_Model!G370</f>
        <v>92.64058558</v>
      </c>
      <c r="C369" s="28">
        <f>DCA_Forecast_Model!H370</f>
        <v>1.192438996</v>
      </c>
      <c r="D369" s="29">
        <f>B369*'Economic Inputs Parameters'!$B$2</f>
        <v>277.9217567</v>
      </c>
      <c r="E369" s="29">
        <f>C369*'Economic Inputs Parameters'!$B$3</f>
        <v>83.4707297</v>
      </c>
      <c r="F369" s="29">
        <f t="shared" si="1"/>
        <v>361.3924864</v>
      </c>
      <c r="G369" s="28">
        <f>'Economic Inputs Parameters'!$B$4</f>
        <v>3000</v>
      </c>
      <c r="H369" s="28">
        <f t="shared" si="2"/>
        <v>-2638.607514</v>
      </c>
      <c r="I369" s="29">
        <v>0.0</v>
      </c>
      <c r="J369" s="28">
        <f t="shared" si="3"/>
        <v>-2638.607514</v>
      </c>
      <c r="K369" s="28">
        <f>1/(1+'Economic Inputs Parameters'!$B$5)^(A369)</f>
        <v>0.04894800277</v>
      </c>
      <c r="L369" s="28">
        <f t="shared" si="4"/>
        <v>-129.1545679</v>
      </c>
      <c r="M369" s="60">
        <f t="shared" si="6"/>
        <v>-5337288.01</v>
      </c>
    </row>
    <row r="370" ht="12.75" customHeight="1">
      <c r="A370" s="49">
        <f t="shared" si="5"/>
        <v>366</v>
      </c>
      <c r="B370" s="28">
        <f>DCA_Forecast_Model!G371</f>
        <v>90.98797317</v>
      </c>
      <c r="C370" s="28">
        <f>DCA_Forecast_Model!H371</f>
        <v>1.171167115</v>
      </c>
      <c r="D370" s="29">
        <f>B370*'Economic Inputs Parameters'!$B$2</f>
        <v>272.9639195</v>
      </c>
      <c r="E370" s="29">
        <f>C370*'Economic Inputs Parameters'!$B$3</f>
        <v>81.98169805</v>
      </c>
      <c r="F370" s="29">
        <f t="shared" si="1"/>
        <v>354.9456176</v>
      </c>
      <c r="G370" s="28">
        <f>'Economic Inputs Parameters'!$B$4</f>
        <v>3000</v>
      </c>
      <c r="H370" s="28">
        <f t="shared" si="2"/>
        <v>-2645.054382</v>
      </c>
      <c r="I370" s="29">
        <v>0.0</v>
      </c>
      <c r="J370" s="28">
        <f t="shared" si="3"/>
        <v>-2645.054382</v>
      </c>
      <c r="K370" s="28">
        <f>1/(1+'Economic Inputs Parameters'!$B$5)^(A370)</f>
        <v>0.04854507862</v>
      </c>
      <c r="L370" s="28">
        <f t="shared" si="4"/>
        <v>-128.4043729</v>
      </c>
      <c r="M370" s="60">
        <f t="shared" si="6"/>
        <v>-5337416.415</v>
      </c>
    </row>
    <row r="371" ht="12.75" customHeight="1">
      <c r="A371" s="49">
        <f t="shared" si="5"/>
        <v>367</v>
      </c>
      <c r="B371" s="28">
        <f>DCA_Forecast_Model!G372</f>
        <v>89.36484166</v>
      </c>
      <c r="C371" s="28">
        <f>DCA_Forecast_Model!H372</f>
        <v>1.150274703</v>
      </c>
      <c r="D371" s="29">
        <f>B371*'Economic Inputs Parameters'!$B$2</f>
        <v>268.094525</v>
      </c>
      <c r="E371" s="29">
        <f>C371*'Economic Inputs Parameters'!$B$3</f>
        <v>80.51922919</v>
      </c>
      <c r="F371" s="29">
        <f t="shared" si="1"/>
        <v>348.6137542</v>
      </c>
      <c r="G371" s="28">
        <f>'Economic Inputs Parameters'!$B$4</f>
        <v>3000</v>
      </c>
      <c r="H371" s="28">
        <f t="shared" si="2"/>
        <v>-2651.386246</v>
      </c>
      <c r="I371" s="29">
        <v>0.0</v>
      </c>
      <c r="J371" s="28">
        <f t="shared" si="3"/>
        <v>-2651.386246</v>
      </c>
      <c r="K371" s="28">
        <f>1/(1+'Economic Inputs Parameters'!$B$5)^(A371)</f>
        <v>0.04814547121</v>
      </c>
      <c r="L371" s="28">
        <f t="shared" si="4"/>
        <v>-127.6522402</v>
      </c>
      <c r="M371" s="60">
        <f t="shared" si="6"/>
        <v>-5337544.067</v>
      </c>
    </row>
    <row r="372" ht="12.75" customHeight="1">
      <c r="A372" s="49">
        <f t="shared" si="5"/>
        <v>368</v>
      </c>
      <c r="B372" s="28">
        <f>DCA_Forecast_Model!G373</f>
        <v>87.77066514</v>
      </c>
      <c r="C372" s="28">
        <f>DCA_Forecast_Model!H373</f>
        <v>1.12975499</v>
      </c>
      <c r="D372" s="29">
        <f>B372*'Economic Inputs Parameters'!$B$2</f>
        <v>263.3119954</v>
      </c>
      <c r="E372" s="29">
        <f>C372*'Economic Inputs Parameters'!$B$3</f>
        <v>79.08284927</v>
      </c>
      <c r="F372" s="29">
        <f t="shared" si="1"/>
        <v>342.3948447</v>
      </c>
      <c r="G372" s="28">
        <f>'Economic Inputs Parameters'!$B$4</f>
        <v>3000</v>
      </c>
      <c r="H372" s="28">
        <f t="shared" si="2"/>
        <v>-2657.605155</v>
      </c>
      <c r="I372" s="29">
        <v>0.0</v>
      </c>
      <c r="J372" s="28">
        <f t="shared" si="3"/>
        <v>-2657.605155</v>
      </c>
      <c r="K372" s="28">
        <f>1/(1+'Economic Inputs Parameters'!$B$5)^(A372)</f>
        <v>0.04774915324</v>
      </c>
      <c r="L372" s="28">
        <f t="shared" si="4"/>
        <v>-126.8983958</v>
      </c>
      <c r="M372" s="60">
        <f t="shared" si="6"/>
        <v>-5337670.965</v>
      </c>
    </row>
    <row r="373" ht="12.75" customHeight="1">
      <c r="A373" s="49">
        <f t="shared" si="5"/>
        <v>369</v>
      </c>
      <c r="B373" s="28">
        <f>DCA_Forecast_Model!G374</f>
        <v>86.20492708</v>
      </c>
      <c r="C373" s="28">
        <f>DCA_Forecast_Model!H374</f>
        <v>1.109601327</v>
      </c>
      <c r="D373" s="29">
        <f>B373*'Economic Inputs Parameters'!$B$2</f>
        <v>258.6147813</v>
      </c>
      <c r="E373" s="29">
        <f>C373*'Economic Inputs Parameters'!$B$3</f>
        <v>77.67209288</v>
      </c>
      <c r="F373" s="29">
        <f t="shared" si="1"/>
        <v>336.2868741</v>
      </c>
      <c r="G373" s="28">
        <f>'Economic Inputs Parameters'!$B$4</f>
        <v>3000</v>
      </c>
      <c r="H373" s="28">
        <f t="shared" si="2"/>
        <v>-2663.713126</v>
      </c>
      <c r="I373" s="29">
        <v>0.0</v>
      </c>
      <c r="J373" s="28">
        <f t="shared" si="3"/>
        <v>-2663.713126</v>
      </c>
      <c r="K373" s="28">
        <f>1/(1+'Economic Inputs Parameters'!$B$5)^(A373)</f>
        <v>0.04735609763</v>
      </c>
      <c r="L373" s="28">
        <f t="shared" si="4"/>
        <v>-126.1430588</v>
      </c>
      <c r="M373" s="60">
        <f t="shared" si="6"/>
        <v>-5337797.108</v>
      </c>
    </row>
    <row r="374" ht="12.75" customHeight="1">
      <c r="A374" s="49">
        <f t="shared" si="5"/>
        <v>370</v>
      </c>
      <c r="B374" s="28">
        <f>DCA_Forecast_Model!G375</f>
        <v>84.66712018</v>
      </c>
      <c r="C374" s="28">
        <f>DCA_Forecast_Model!H375</f>
        <v>1.089807185</v>
      </c>
      <c r="D374" s="29">
        <f>B374*'Economic Inputs Parameters'!$B$2</f>
        <v>254.0013605</v>
      </c>
      <c r="E374" s="29">
        <f>C374*'Economic Inputs Parameters'!$B$3</f>
        <v>76.28650293</v>
      </c>
      <c r="F374" s="29">
        <f t="shared" si="1"/>
        <v>330.2878635</v>
      </c>
      <c r="G374" s="28">
        <f>'Economic Inputs Parameters'!$B$4</f>
        <v>3000</v>
      </c>
      <c r="H374" s="28">
        <f t="shared" si="2"/>
        <v>-2669.712137</v>
      </c>
      <c r="I374" s="29">
        <v>0.0</v>
      </c>
      <c r="J374" s="28">
        <f t="shared" si="3"/>
        <v>-2669.712137</v>
      </c>
      <c r="K374" s="28">
        <f>1/(1+'Economic Inputs Parameters'!$B$5)^(A374)</f>
        <v>0.04696627752</v>
      </c>
      <c r="L374" s="28">
        <f t="shared" si="4"/>
        <v>-125.3864411</v>
      </c>
      <c r="M374" s="60">
        <f t="shared" si="6"/>
        <v>-5337922.495</v>
      </c>
    </row>
    <row r="375" ht="12.75" customHeight="1">
      <c r="A375" s="49">
        <f t="shared" si="5"/>
        <v>371</v>
      </c>
      <c r="B375" s="28">
        <f>DCA_Forecast_Model!G376</f>
        <v>83.15674616</v>
      </c>
      <c r="C375" s="28">
        <f>DCA_Forecast_Model!H376</f>
        <v>1.07036615</v>
      </c>
      <c r="D375" s="29">
        <f>B375*'Economic Inputs Parameters'!$B$2</f>
        <v>249.4702385</v>
      </c>
      <c r="E375" s="29">
        <f>C375*'Economic Inputs Parameters'!$B$3</f>
        <v>74.92563047</v>
      </c>
      <c r="F375" s="29">
        <f t="shared" si="1"/>
        <v>324.395869</v>
      </c>
      <c r="G375" s="28">
        <f>'Economic Inputs Parameters'!$B$4</f>
        <v>3000</v>
      </c>
      <c r="H375" s="28">
        <f t="shared" si="2"/>
        <v>-2675.604131</v>
      </c>
      <c r="I375" s="29">
        <v>0.0</v>
      </c>
      <c r="J375" s="28">
        <f t="shared" si="3"/>
        <v>-2675.604131</v>
      </c>
      <c r="K375" s="28">
        <f>1/(1+'Economic Inputs Parameters'!$B$5)^(A375)</f>
        <v>0.04657966629</v>
      </c>
      <c r="L375" s="28">
        <f t="shared" si="4"/>
        <v>-124.6287476</v>
      </c>
      <c r="M375" s="60">
        <f t="shared" si="6"/>
        <v>-5338047.123</v>
      </c>
    </row>
    <row r="376" ht="12.75" customHeight="1">
      <c r="A376" s="49">
        <f t="shared" si="5"/>
        <v>372</v>
      </c>
      <c r="B376" s="28">
        <f>DCA_Forecast_Model!G377</f>
        <v>81.67331566</v>
      </c>
      <c r="C376" s="28">
        <f>DCA_Forecast_Model!H377</f>
        <v>1.051271922</v>
      </c>
      <c r="D376" s="29">
        <f>B376*'Economic Inputs Parameters'!$B$2</f>
        <v>245.019947</v>
      </c>
      <c r="E376" s="29">
        <f>C376*'Economic Inputs Parameters'!$B$3</f>
        <v>73.58903457</v>
      </c>
      <c r="F376" s="29">
        <f t="shared" si="1"/>
        <v>318.6089815</v>
      </c>
      <c r="G376" s="28">
        <f>'Economic Inputs Parameters'!$B$4</f>
        <v>3000</v>
      </c>
      <c r="H376" s="28">
        <f t="shared" si="2"/>
        <v>-2681.391018</v>
      </c>
      <c r="I376" s="29">
        <v>0.0</v>
      </c>
      <c r="J376" s="28">
        <f t="shared" si="3"/>
        <v>-2681.391018</v>
      </c>
      <c r="K376" s="28">
        <f>1/(1+'Economic Inputs Parameters'!$B$5)^(A376)</f>
        <v>0.04619623752</v>
      </c>
      <c r="L376" s="28">
        <f t="shared" si="4"/>
        <v>-123.8701764</v>
      </c>
      <c r="M376" s="60">
        <f t="shared" si="6"/>
        <v>-5338170.994</v>
      </c>
    </row>
    <row r="377" ht="12.75" customHeight="1">
      <c r="A377" s="49">
        <f t="shared" si="5"/>
        <v>373</v>
      </c>
      <c r="B377" s="28">
        <f>DCA_Forecast_Model!G378</f>
        <v>80.21634802</v>
      </c>
      <c r="C377" s="28">
        <f>DCA_Forecast_Model!H378</f>
        <v>1.032518317</v>
      </c>
      <c r="D377" s="29">
        <f>B377*'Economic Inputs Parameters'!$B$2</f>
        <v>240.6490441</v>
      </c>
      <c r="E377" s="29">
        <f>C377*'Economic Inputs Parameters'!$B$3</f>
        <v>72.27628217</v>
      </c>
      <c r="F377" s="29">
        <f t="shared" si="1"/>
        <v>312.9253262</v>
      </c>
      <c r="G377" s="28">
        <f>'Economic Inputs Parameters'!$B$4</f>
        <v>3000</v>
      </c>
      <c r="H377" s="28">
        <f t="shared" si="2"/>
        <v>-2687.074674</v>
      </c>
      <c r="I377" s="29">
        <v>0.0</v>
      </c>
      <c r="J377" s="28">
        <f t="shared" si="3"/>
        <v>-2687.074674</v>
      </c>
      <c r="K377" s="28">
        <f>1/(1+'Economic Inputs Parameters'!$B$5)^(A377)</f>
        <v>0.04581596501</v>
      </c>
      <c r="L377" s="28">
        <f t="shared" si="4"/>
        <v>-123.1109192</v>
      </c>
      <c r="M377" s="60">
        <f t="shared" si="6"/>
        <v>-5338294.105</v>
      </c>
    </row>
    <row r="378" ht="12.75" customHeight="1">
      <c r="A378" s="49">
        <f t="shared" si="5"/>
        <v>374</v>
      </c>
      <c r="B378" s="28">
        <f>DCA_Forecast_Model!G379</f>
        <v>78.78537119</v>
      </c>
      <c r="C378" s="28">
        <f>DCA_Forecast_Model!H379</f>
        <v>1.014099256</v>
      </c>
      <c r="D378" s="29">
        <f>B378*'Economic Inputs Parameters'!$B$2</f>
        <v>236.3561136</v>
      </c>
      <c r="E378" s="29">
        <f>C378*'Economic Inputs Parameters'!$B$3</f>
        <v>70.98694791</v>
      </c>
      <c r="F378" s="29">
        <f t="shared" si="1"/>
        <v>307.3430615</v>
      </c>
      <c r="G378" s="28">
        <f>'Economic Inputs Parameters'!$B$4</f>
        <v>3000</v>
      </c>
      <c r="H378" s="28">
        <f t="shared" si="2"/>
        <v>-2692.656939</v>
      </c>
      <c r="I378" s="29">
        <v>0.0</v>
      </c>
      <c r="J378" s="28">
        <f t="shared" si="3"/>
        <v>-2692.656939</v>
      </c>
      <c r="K378" s="28">
        <f>1/(1+'Economic Inputs Parameters'!$B$5)^(A378)</f>
        <v>0.04543882278</v>
      </c>
      <c r="L378" s="28">
        <f t="shared" si="4"/>
        <v>-122.3511614</v>
      </c>
      <c r="M378" s="60">
        <f t="shared" si="6"/>
        <v>-5338416.456</v>
      </c>
    </row>
    <row r="379" ht="12.75" customHeight="1">
      <c r="A379" s="49">
        <f t="shared" si="5"/>
        <v>375</v>
      </c>
      <c r="B379" s="28">
        <f>DCA_Forecast_Model!G380</f>
        <v>77.3799215</v>
      </c>
      <c r="C379" s="28">
        <f>DCA_Forecast_Model!H380</f>
        <v>0.996008772</v>
      </c>
      <c r="D379" s="29">
        <f>B379*'Economic Inputs Parameters'!$B$2</f>
        <v>232.1397645</v>
      </c>
      <c r="E379" s="29">
        <f>C379*'Economic Inputs Parameters'!$B$3</f>
        <v>69.72061404</v>
      </c>
      <c r="F379" s="29">
        <f t="shared" si="1"/>
        <v>301.8603785</v>
      </c>
      <c r="G379" s="28">
        <f>'Economic Inputs Parameters'!$B$4</f>
        <v>3000</v>
      </c>
      <c r="H379" s="28">
        <f t="shared" si="2"/>
        <v>-2698.139621</v>
      </c>
      <c r="I379" s="29">
        <v>0.0</v>
      </c>
      <c r="J379" s="28">
        <f t="shared" si="3"/>
        <v>-2698.139621</v>
      </c>
      <c r="K379" s="28">
        <f>1/(1+'Economic Inputs Parameters'!$B$5)^(A379)</f>
        <v>0.04506478507</v>
      </c>
      <c r="L379" s="28">
        <f t="shared" si="4"/>
        <v>-121.5910821</v>
      </c>
      <c r="M379" s="60">
        <f t="shared" si="6"/>
        <v>-5338538.047</v>
      </c>
    </row>
    <row r="380" ht="12.75" customHeight="1">
      <c r="A380" s="49">
        <f t="shared" si="5"/>
        <v>376</v>
      </c>
      <c r="B380" s="28">
        <f>DCA_Forecast_Model!G381</f>
        <v>75.99954358</v>
      </c>
      <c r="C380" s="28">
        <f>DCA_Forecast_Model!H381</f>
        <v>0.9782410038</v>
      </c>
      <c r="D380" s="29">
        <f>B380*'Economic Inputs Parameters'!$B$2</f>
        <v>227.9986308</v>
      </c>
      <c r="E380" s="29">
        <f>C380*'Economic Inputs Parameters'!$B$3</f>
        <v>68.47687026</v>
      </c>
      <c r="F380" s="29">
        <f t="shared" si="1"/>
        <v>296.475501</v>
      </c>
      <c r="G380" s="28">
        <f>'Economic Inputs Parameters'!$B$4</f>
        <v>3000</v>
      </c>
      <c r="H380" s="28">
        <f t="shared" si="2"/>
        <v>-2703.524499</v>
      </c>
      <c r="I380" s="29">
        <v>0.0</v>
      </c>
      <c r="J380" s="28">
        <f t="shared" si="3"/>
        <v>-2703.524499</v>
      </c>
      <c r="K380" s="28">
        <f>1/(1+'Economic Inputs Parameters'!$B$5)^(A380)</f>
        <v>0.04469382631</v>
      </c>
      <c r="L380" s="28">
        <f t="shared" si="4"/>
        <v>-120.8308544</v>
      </c>
      <c r="M380" s="60">
        <f t="shared" si="6"/>
        <v>-5338658.878</v>
      </c>
    </row>
    <row r="381" ht="12.75" customHeight="1">
      <c r="A381" s="49">
        <f t="shared" si="5"/>
        <v>377</v>
      </c>
      <c r="B381" s="28">
        <f>DCA_Forecast_Model!G382</f>
        <v>74.64379018</v>
      </c>
      <c r="C381" s="28">
        <f>DCA_Forecast_Model!H382</f>
        <v>0.9607901942</v>
      </c>
      <c r="D381" s="29">
        <f>B381*'Economic Inputs Parameters'!$B$2</f>
        <v>223.9313706</v>
      </c>
      <c r="E381" s="29">
        <f>C381*'Economic Inputs Parameters'!$B$3</f>
        <v>67.25531359</v>
      </c>
      <c r="F381" s="29">
        <f t="shared" si="1"/>
        <v>291.1866841</v>
      </c>
      <c r="G381" s="28">
        <f>'Economic Inputs Parameters'!$B$4</f>
        <v>3000</v>
      </c>
      <c r="H381" s="28">
        <f t="shared" si="2"/>
        <v>-2708.813316</v>
      </c>
      <c r="I381" s="29">
        <v>0.0</v>
      </c>
      <c r="J381" s="28">
        <f t="shared" si="3"/>
        <v>-2708.813316</v>
      </c>
      <c r="K381" s="28">
        <f>1/(1+'Economic Inputs Parameters'!$B$5)^(A381)</f>
        <v>0.04432592116</v>
      </c>
      <c r="L381" s="28">
        <f t="shared" si="4"/>
        <v>-120.0706455</v>
      </c>
      <c r="M381" s="60">
        <f t="shared" si="6"/>
        <v>-5338778.948</v>
      </c>
    </row>
    <row r="382" ht="12.75" customHeight="1">
      <c r="A382" s="49">
        <f t="shared" si="5"/>
        <v>378</v>
      </c>
      <c r="B382" s="28">
        <f>DCA_Forecast_Model!G383</f>
        <v>73.31222203</v>
      </c>
      <c r="C382" s="28">
        <f>DCA_Forecast_Model!H383</f>
        <v>0.943650689</v>
      </c>
      <c r="D382" s="29">
        <f>B382*'Economic Inputs Parameters'!$B$2</f>
        <v>219.9366661</v>
      </c>
      <c r="E382" s="29">
        <f>C382*'Economic Inputs Parameters'!$B$3</f>
        <v>66.05554823</v>
      </c>
      <c r="F382" s="29">
        <f t="shared" si="1"/>
        <v>285.9922143</v>
      </c>
      <c r="G382" s="28">
        <f>'Economic Inputs Parameters'!$B$4</f>
        <v>3000</v>
      </c>
      <c r="H382" s="28">
        <f t="shared" si="2"/>
        <v>-2714.007786</v>
      </c>
      <c r="I382" s="29">
        <v>0.0</v>
      </c>
      <c r="J382" s="28">
        <f t="shared" si="3"/>
        <v>-2714.007786</v>
      </c>
      <c r="K382" s="28">
        <f>1/(1+'Economic Inputs Parameters'!$B$5)^(A382)</f>
        <v>0.04396104449</v>
      </c>
      <c r="L382" s="28">
        <f t="shared" si="4"/>
        <v>-119.310617</v>
      </c>
      <c r="M382" s="60">
        <f t="shared" si="6"/>
        <v>-5338898.259</v>
      </c>
    </row>
    <row r="383" ht="12.75" customHeight="1">
      <c r="A383" s="49">
        <f t="shared" si="5"/>
        <v>379</v>
      </c>
      <c r="B383" s="28">
        <f>DCA_Forecast_Model!G384</f>
        <v>72.00440767</v>
      </c>
      <c r="C383" s="28">
        <f>DCA_Forecast_Model!H384</f>
        <v>0.9268169349</v>
      </c>
      <c r="D383" s="29">
        <f>B383*'Economic Inputs Parameters'!$B$2</f>
        <v>216.013223</v>
      </c>
      <c r="E383" s="29">
        <f>C383*'Economic Inputs Parameters'!$B$3</f>
        <v>64.87718544</v>
      </c>
      <c r="F383" s="29">
        <f t="shared" si="1"/>
        <v>280.8904085</v>
      </c>
      <c r="G383" s="28">
        <f>'Economic Inputs Parameters'!$B$4</f>
        <v>3000</v>
      </c>
      <c r="H383" s="28">
        <f t="shared" si="2"/>
        <v>-2719.109592</v>
      </c>
      <c r="I383" s="29">
        <v>0.0</v>
      </c>
      <c r="J383" s="28">
        <f t="shared" si="3"/>
        <v>-2719.109592</v>
      </c>
      <c r="K383" s="28">
        <f>1/(1+'Economic Inputs Parameters'!$B$5)^(A383)</f>
        <v>0.04359917137</v>
      </c>
      <c r="L383" s="28">
        <f t="shared" si="4"/>
        <v>-118.5509251</v>
      </c>
      <c r="M383" s="60">
        <f t="shared" si="6"/>
        <v>-5339016.81</v>
      </c>
    </row>
    <row r="384" ht="12.75" customHeight="1">
      <c r="A384" s="49">
        <f t="shared" si="5"/>
        <v>380</v>
      </c>
      <c r="B384" s="28">
        <f>DCA_Forecast_Model!G385</f>
        <v>70.71992337</v>
      </c>
      <c r="C384" s="28">
        <f>DCA_Forecast_Model!H385</f>
        <v>0.9102834776</v>
      </c>
      <c r="D384" s="29">
        <f>B384*'Economic Inputs Parameters'!$B$2</f>
        <v>212.1597701</v>
      </c>
      <c r="E384" s="29">
        <f>C384*'Economic Inputs Parameters'!$B$3</f>
        <v>63.71984343</v>
      </c>
      <c r="F384" s="29">
        <f t="shared" si="1"/>
        <v>275.8796135</v>
      </c>
      <c r="G384" s="28">
        <f>'Economic Inputs Parameters'!$B$4</f>
        <v>3000</v>
      </c>
      <c r="H384" s="28">
        <f t="shared" si="2"/>
        <v>-2724.120386</v>
      </c>
      <c r="I384" s="29">
        <v>0.0</v>
      </c>
      <c r="J384" s="28">
        <f t="shared" si="3"/>
        <v>-2724.120386</v>
      </c>
      <c r="K384" s="28">
        <f>1/(1+'Economic Inputs Parameters'!$B$5)^(A384)</f>
        <v>0.04324027707</v>
      </c>
      <c r="L384" s="28">
        <f t="shared" si="4"/>
        <v>-117.7917203</v>
      </c>
      <c r="M384" s="60">
        <f t="shared" si="6"/>
        <v>-5339134.602</v>
      </c>
    </row>
    <row r="385" ht="12.75" customHeight="1">
      <c r="A385" s="49">
        <f t="shared" si="5"/>
        <v>381</v>
      </c>
      <c r="B385" s="28">
        <f>DCA_Forecast_Model!G386</f>
        <v>69.45835295</v>
      </c>
      <c r="C385" s="28">
        <f>DCA_Forecast_Model!H386</f>
        <v>0.8940449601</v>
      </c>
      <c r="D385" s="29">
        <f>B385*'Economic Inputs Parameters'!$B$2</f>
        <v>208.3750588</v>
      </c>
      <c r="E385" s="29">
        <f>C385*'Economic Inputs Parameters'!$B$3</f>
        <v>62.5831472</v>
      </c>
      <c r="F385" s="29">
        <f t="shared" si="1"/>
        <v>270.958206</v>
      </c>
      <c r="G385" s="28">
        <f>'Economic Inputs Parameters'!$B$4</f>
        <v>3000</v>
      </c>
      <c r="H385" s="28">
        <f t="shared" si="2"/>
        <v>-2729.041794</v>
      </c>
      <c r="I385" s="29">
        <v>0.0</v>
      </c>
      <c r="J385" s="28">
        <f t="shared" si="3"/>
        <v>-2729.041794</v>
      </c>
      <c r="K385" s="28">
        <f>1/(1+'Economic Inputs Parameters'!$B$5)^(A385)</f>
        <v>0.04288433707</v>
      </c>
      <c r="L385" s="28">
        <f t="shared" si="4"/>
        <v>-117.0331482</v>
      </c>
      <c r="M385" s="60">
        <f t="shared" si="6"/>
        <v>-5339251.635</v>
      </c>
    </row>
    <row r="386" ht="12.75" customHeight="1">
      <c r="A386" s="49">
        <f t="shared" si="5"/>
        <v>382</v>
      </c>
      <c r="B386" s="28">
        <f>DCA_Forecast_Model!G387</f>
        <v>68.21928764</v>
      </c>
      <c r="C386" s="28">
        <f>DCA_Forecast_Model!H387</f>
        <v>0.878096121</v>
      </c>
      <c r="D386" s="29">
        <f>B386*'Economic Inputs Parameters'!$B$2</f>
        <v>204.6578629</v>
      </c>
      <c r="E386" s="29">
        <f>C386*'Economic Inputs Parameters'!$B$3</f>
        <v>61.46672847</v>
      </c>
      <c r="F386" s="29">
        <f t="shared" si="1"/>
        <v>266.1245914</v>
      </c>
      <c r="G386" s="28">
        <f>'Economic Inputs Parameters'!$B$4</f>
        <v>3000</v>
      </c>
      <c r="H386" s="28">
        <f t="shared" si="2"/>
        <v>-2733.875409</v>
      </c>
      <c r="I386" s="29">
        <v>0.0</v>
      </c>
      <c r="J386" s="28">
        <f t="shared" si="3"/>
        <v>-2733.875409</v>
      </c>
      <c r="K386" s="28">
        <f>1/(1+'Economic Inputs Parameters'!$B$5)^(A386)</f>
        <v>0.04253132706</v>
      </c>
      <c r="L386" s="28">
        <f t="shared" si="4"/>
        <v>-116.2753491</v>
      </c>
      <c r="M386" s="60">
        <f t="shared" si="6"/>
        <v>-5339367.91</v>
      </c>
    </row>
    <row r="387" ht="12.75" customHeight="1">
      <c r="A387" s="49">
        <f t="shared" si="5"/>
        <v>383</v>
      </c>
      <c r="B387" s="28">
        <f>DCA_Forecast_Model!G388</f>
        <v>67.00232597</v>
      </c>
      <c r="C387" s="28">
        <f>DCA_Forecast_Model!H388</f>
        <v>0.8624317927</v>
      </c>
      <c r="D387" s="29">
        <f>B387*'Economic Inputs Parameters'!$B$2</f>
        <v>201.0069779</v>
      </c>
      <c r="E387" s="29">
        <f>C387*'Economic Inputs Parameters'!$B$3</f>
        <v>60.37022549</v>
      </c>
      <c r="F387" s="29">
        <f t="shared" si="1"/>
        <v>261.3772034</v>
      </c>
      <c r="G387" s="28">
        <f>'Economic Inputs Parameters'!$B$4</f>
        <v>3000</v>
      </c>
      <c r="H387" s="28">
        <f t="shared" si="2"/>
        <v>-2738.622797</v>
      </c>
      <c r="I387" s="29">
        <v>0.0</v>
      </c>
      <c r="J387" s="28">
        <f t="shared" si="3"/>
        <v>-2738.622797</v>
      </c>
      <c r="K387" s="28">
        <f>1/(1+'Economic Inputs Parameters'!$B$5)^(A387)</f>
        <v>0.04218122291</v>
      </c>
      <c r="L387" s="28">
        <f t="shared" si="4"/>
        <v>-115.5184586</v>
      </c>
      <c r="M387" s="60">
        <f t="shared" si="6"/>
        <v>-5339483.428</v>
      </c>
    </row>
    <row r="388" ht="12.75" customHeight="1">
      <c r="A388" s="49">
        <f t="shared" si="5"/>
        <v>384</v>
      </c>
      <c r="B388" s="28">
        <f>DCA_Forecast_Model!G389</f>
        <v>65.80707365</v>
      </c>
      <c r="C388" s="28">
        <f>DCA_Forecast_Model!H389</f>
        <v>0.8470468998</v>
      </c>
      <c r="D388" s="29">
        <f>B388*'Economic Inputs Parameters'!$B$2</f>
        <v>197.4212209</v>
      </c>
      <c r="E388" s="29">
        <f>C388*'Economic Inputs Parameters'!$B$3</f>
        <v>59.29328299</v>
      </c>
      <c r="F388" s="29">
        <f t="shared" si="1"/>
        <v>256.7145039</v>
      </c>
      <c r="G388" s="28">
        <f>'Economic Inputs Parameters'!$B$4</f>
        <v>3000</v>
      </c>
      <c r="H388" s="28">
        <f t="shared" si="2"/>
        <v>-2743.285496</v>
      </c>
      <c r="I388" s="29">
        <v>0.0</v>
      </c>
      <c r="J388" s="28">
        <f t="shared" si="3"/>
        <v>-2743.285496</v>
      </c>
      <c r="K388" s="28">
        <f>1/(1+'Economic Inputs Parameters'!$B$5)^(A388)</f>
        <v>0.0418340007</v>
      </c>
      <c r="L388" s="28">
        <f t="shared" si="4"/>
        <v>-114.7626074</v>
      </c>
      <c r="M388" s="60">
        <f t="shared" si="6"/>
        <v>-5339598.191</v>
      </c>
    </row>
    <row r="389" ht="12.75" customHeight="1">
      <c r="A389" s="49">
        <f t="shared" si="5"/>
        <v>385</v>
      </c>
      <c r="B389" s="28">
        <f>DCA_Forecast_Model!G390</f>
        <v>64.63314339</v>
      </c>
      <c r="C389" s="28">
        <f>DCA_Forecast_Model!H390</f>
        <v>0.8319364576</v>
      </c>
      <c r="D389" s="29">
        <f>B389*'Economic Inputs Parameters'!$B$2</f>
        <v>193.8994302</v>
      </c>
      <c r="E389" s="29">
        <f>C389*'Economic Inputs Parameters'!$B$3</f>
        <v>58.23555203</v>
      </c>
      <c r="F389" s="29">
        <f t="shared" si="1"/>
        <v>252.1349822</v>
      </c>
      <c r="G389" s="28">
        <f>'Economic Inputs Parameters'!$B$4</f>
        <v>3000</v>
      </c>
      <c r="H389" s="28">
        <f t="shared" si="2"/>
        <v>-2747.865018</v>
      </c>
      <c r="I389" s="29">
        <v>0.0</v>
      </c>
      <c r="J389" s="28">
        <f t="shared" si="3"/>
        <v>-2747.865018</v>
      </c>
      <c r="K389" s="28">
        <f>1/(1+'Economic Inputs Parameters'!$B$5)^(A389)</f>
        <v>0.04148963672</v>
      </c>
      <c r="L389" s="28">
        <f t="shared" si="4"/>
        <v>-114.0079213</v>
      </c>
      <c r="M389" s="60">
        <f t="shared" si="6"/>
        <v>-5339712.199</v>
      </c>
    </row>
    <row r="390" ht="12.75" customHeight="1">
      <c r="A390" s="49">
        <f t="shared" si="5"/>
        <v>386</v>
      </c>
      <c r="B390" s="28">
        <f>DCA_Forecast_Model!G391</f>
        <v>63.48015484</v>
      </c>
      <c r="C390" s="28">
        <f>DCA_Forecast_Model!H391</f>
        <v>0.81709557</v>
      </c>
      <c r="D390" s="29">
        <f>B390*'Economic Inputs Parameters'!$B$2</f>
        <v>190.4404645</v>
      </c>
      <c r="E390" s="29">
        <f>C390*'Economic Inputs Parameters'!$B$3</f>
        <v>57.1966899</v>
      </c>
      <c r="F390" s="29">
        <f t="shared" si="1"/>
        <v>247.6371544</v>
      </c>
      <c r="G390" s="28">
        <f>'Economic Inputs Parameters'!$B$4</f>
        <v>3000</v>
      </c>
      <c r="H390" s="28">
        <f t="shared" si="2"/>
        <v>-2752.362846</v>
      </c>
      <c r="I390" s="29">
        <v>0.0</v>
      </c>
      <c r="J390" s="28">
        <f t="shared" si="3"/>
        <v>-2752.362846</v>
      </c>
      <c r="K390" s="28">
        <f>1/(1+'Economic Inputs Parameters'!$B$5)^(A390)</f>
        <v>0.04114810743</v>
      </c>
      <c r="L390" s="28">
        <f t="shared" si="4"/>
        <v>-113.254522</v>
      </c>
      <c r="M390" s="60">
        <f t="shared" si="6"/>
        <v>-5339825.454</v>
      </c>
    </row>
    <row r="391" ht="12.75" customHeight="1">
      <c r="A391" s="49">
        <f t="shared" si="5"/>
        <v>387</v>
      </c>
      <c r="B391" s="28">
        <f>DCA_Forecast_Model!G392</f>
        <v>62.34773441</v>
      </c>
      <c r="C391" s="28">
        <f>DCA_Forecast_Model!H392</f>
        <v>0.8025194286</v>
      </c>
      <c r="D391" s="29">
        <f>B391*'Economic Inputs Parameters'!$B$2</f>
        <v>187.0432032</v>
      </c>
      <c r="E391" s="29">
        <f>C391*'Economic Inputs Parameters'!$B$3</f>
        <v>56.17636</v>
      </c>
      <c r="F391" s="29">
        <f t="shared" si="1"/>
        <v>243.2195632</v>
      </c>
      <c r="G391" s="28">
        <f>'Economic Inputs Parameters'!$B$4</f>
        <v>3000</v>
      </c>
      <c r="H391" s="28">
        <f t="shared" si="2"/>
        <v>-2756.780437</v>
      </c>
      <c r="I391" s="29">
        <v>0.0</v>
      </c>
      <c r="J391" s="28">
        <f t="shared" si="3"/>
        <v>-2756.780437</v>
      </c>
      <c r="K391" s="28">
        <f>1/(1+'Economic Inputs Parameters'!$B$5)^(A391)</f>
        <v>0.04080938949</v>
      </c>
      <c r="L391" s="28">
        <f t="shared" si="4"/>
        <v>-112.5025266</v>
      </c>
      <c r="M391" s="60">
        <f t="shared" si="6"/>
        <v>-5339937.956</v>
      </c>
    </row>
    <row r="392" ht="12.75" customHeight="1">
      <c r="A392" s="49">
        <f t="shared" si="5"/>
        <v>388</v>
      </c>
      <c r="B392" s="28">
        <f>DCA_Forecast_Model!G393</f>
        <v>61.23551519</v>
      </c>
      <c r="C392" s="28">
        <f>DCA_Forecast_Model!H393</f>
        <v>0.7882033105</v>
      </c>
      <c r="D392" s="29">
        <f>B392*'Economic Inputs Parameters'!$B$2</f>
        <v>183.7065456</v>
      </c>
      <c r="E392" s="29">
        <f>C392*'Economic Inputs Parameters'!$B$3</f>
        <v>55.17423173</v>
      </c>
      <c r="F392" s="29">
        <f t="shared" si="1"/>
        <v>238.8807773</v>
      </c>
      <c r="G392" s="28">
        <f>'Economic Inputs Parameters'!$B$4</f>
        <v>3000</v>
      </c>
      <c r="H392" s="28">
        <f t="shared" si="2"/>
        <v>-2761.119223</v>
      </c>
      <c r="I392" s="29">
        <v>0.0</v>
      </c>
      <c r="J392" s="28">
        <f t="shared" si="3"/>
        <v>-2761.119223</v>
      </c>
      <c r="K392" s="28">
        <f>1/(1+'Economic Inputs Parameters'!$B$5)^(A392)</f>
        <v>0.04047345978</v>
      </c>
      <c r="L392" s="28">
        <f t="shared" si="4"/>
        <v>-111.7520478</v>
      </c>
      <c r="M392" s="60">
        <f t="shared" si="6"/>
        <v>-5340049.708</v>
      </c>
    </row>
    <row r="393" ht="12.75" customHeight="1">
      <c r="A393" s="49">
        <f t="shared" si="5"/>
        <v>389</v>
      </c>
      <c r="B393" s="28">
        <f>DCA_Forecast_Model!G394</f>
        <v>60.14313682</v>
      </c>
      <c r="C393" s="28">
        <f>DCA_Forecast_Model!H394</f>
        <v>0.7741425771</v>
      </c>
      <c r="D393" s="29">
        <f>B393*'Economic Inputs Parameters'!$B$2</f>
        <v>180.4294105</v>
      </c>
      <c r="E393" s="29">
        <f>C393*'Economic Inputs Parameters'!$B$3</f>
        <v>54.1899804</v>
      </c>
      <c r="F393" s="29">
        <f t="shared" si="1"/>
        <v>234.6193909</v>
      </c>
      <c r="G393" s="28">
        <f>'Economic Inputs Parameters'!$B$4</f>
        <v>3000</v>
      </c>
      <c r="H393" s="28">
        <f t="shared" si="2"/>
        <v>-2765.380609</v>
      </c>
      <c r="I393" s="29">
        <v>0.0</v>
      </c>
      <c r="J393" s="28">
        <f t="shared" si="3"/>
        <v>-2765.380609</v>
      </c>
      <c r="K393" s="28">
        <f>1/(1+'Economic Inputs Parameters'!$B$5)^(A393)</f>
        <v>0.04014029533</v>
      </c>
      <c r="L393" s="28">
        <f t="shared" si="4"/>
        <v>-111.0031943</v>
      </c>
      <c r="M393" s="60">
        <f t="shared" si="6"/>
        <v>-5340160.711</v>
      </c>
    </row>
    <row r="394" ht="12.75" customHeight="1">
      <c r="A394" s="49">
        <f t="shared" si="5"/>
        <v>390</v>
      </c>
      <c r="B394" s="28">
        <f>DCA_Forecast_Model!G395</f>
        <v>59.07024535</v>
      </c>
      <c r="C394" s="28">
        <f>DCA_Forecast_Model!H395</f>
        <v>0.7603326727</v>
      </c>
      <c r="D394" s="29">
        <f>B394*'Economic Inputs Parameters'!$B$2</f>
        <v>177.210736</v>
      </c>
      <c r="E394" s="29">
        <f>C394*'Economic Inputs Parameters'!$B$3</f>
        <v>53.22328709</v>
      </c>
      <c r="F394" s="29">
        <f t="shared" si="1"/>
        <v>230.4340231</v>
      </c>
      <c r="G394" s="28">
        <f>'Economic Inputs Parameters'!$B$4</f>
        <v>3000</v>
      </c>
      <c r="H394" s="28">
        <f t="shared" si="2"/>
        <v>-2769.565977</v>
      </c>
      <c r="I394" s="29">
        <v>0.0</v>
      </c>
      <c r="J394" s="28">
        <f t="shared" si="3"/>
        <v>-2769.565977</v>
      </c>
      <c r="K394" s="28">
        <f>1/(1+'Economic Inputs Parameters'!$B$5)^(A394)</f>
        <v>0.03980987338</v>
      </c>
      <c r="L394" s="28">
        <f t="shared" si="4"/>
        <v>-110.2560709</v>
      </c>
      <c r="M394" s="60">
        <f t="shared" si="6"/>
        <v>-5340270.967</v>
      </c>
    </row>
    <row r="395" ht="12.75" customHeight="1">
      <c r="A395" s="49">
        <f t="shared" si="5"/>
        <v>391</v>
      </c>
      <c r="B395" s="28">
        <f>DCA_Forecast_Model!G396</f>
        <v>58.01649315</v>
      </c>
      <c r="C395" s="28">
        <f>DCA_Forecast_Model!H396</f>
        <v>0.7467691228</v>
      </c>
      <c r="D395" s="29">
        <f>B395*'Economic Inputs Parameters'!$B$2</f>
        <v>174.0494795</v>
      </c>
      <c r="E395" s="29">
        <f>C395*'Economic Inputs Parameters'!$B$3</f>
        <v>52.2738386</v>
      </c>
      <c r="F395" s="29">
        <f t="shared" si="1"/>
        <v>226.323318</v>
      </c>
      <c r="G395" s="28">
        <f>'Economic Inputs Parameters'!$B$4</f>
        <v>3000</v>
      </c>
      <c r="H395" s="28">
        <f t="shared" si="2"/>
        <v>-2773.676682</v>
      </c>
      <c r="I395" s="29">
        <v>0.0</v>
      </c>
      <c r="J395" s="28">
        <f t="shared" si="3"/>
        <v>-2773.676682</v>
      </c>
      <c r="K395" s="28">
        <f>1/(1+'Economic Inputs Parameters'!$B$5)^(A395)</f>
        <v>0.03948217136</v>
      </c>
      <c r="L395" s="28">
        <f t="shared" si="4"/>
        <v>-109.510778</v>
      </c>
      <c r="M395" s="60">
        <f t="shared" si="6"/>
        <v>-5340380.478</v>
      </c>
    </row>
    <row r="396" ht="12.75" customHeight="1">
      <c r="A396" s="49">
        <f t="shared" si="5"/>
        <v>392</v>
      </c>
      <c r="B396" s="28">
        <f>DCA_Forecast_Model!G397</f>
        <v>56.98153881</v>
      </c>
      <c r="C396" s="28">
        <f>DCA_Forecast_Model!H397</f>
        <v>0.7334475326</v>
      </c>
      <c r="D396" s="29">
        <f>B396*'Economic Inputs Parameters'!$B$2</f>
        <v>170.9446164</v>
      </c>
      <c r="E396" s="29">
        <f>C396*'Economic Inputs Parameters'!$B$3</f>
        <v>51.34132728</v>
      </c>
      <c r="F396" s="29">
        <f t="shared" si="1"/>
        <v>222.2859437</v>
      </c>
      <c r="G396" s="28">
        <f>'Economic Inputs Parameters'!$B$4</f>
        <v>3000</v>
      </c>
      <c r="H396" s="28">
        <f t="shared" si="2"/>
        <v>-2777.714056</v>
      </c>
      <c r="I396" s="29">
        <v>0.0</v>
      </c>
      <c r="J396" s="28">
        <f t="shared" si="3"/>
        <v>-2777.714056</v>
      </c>
      <c r="K396" s="28">
        <f>1/(1+'Economic Inputs Parameters'!$B$5)^(A396)</f>
        <v>0.03915716687</v>
      </c>
      <c r="L396" s="28">
        <f t="shared" si="4"/>
        <v>-108.7674128</v>
      </c>
      <c r="M396" s="60">
        <f t="shared" si="6"/>
        <v>-5340489.246</v>
      </c>
    </row>
    <row r="397" ht="12.75" customHeight="1">
      <c r="A397" s="49">
        <f t="shared" si="5"/>
        <v>393</v>
      </c>
      <c r="B397" s="28">
        <f>DCA_Forecast_Model!G398</f>
        <v>55.96504698</v>
      </c>
      <c r="C397" s="28">
        <f>DCA_Forecast_Model!H398</f>
        <v>0.7203635858</v>
      </c>
      <c r="D397" s="29">
        <f>B397*'Economic Inputs Parameters'!$B$2</f>
        <v>167.8951409</v>
      </c>
      <c r="E397" s="29">
        <f>C397*'Economic Inputs Parameters'!$B$3</f>
        <v>50.425451</v>
      </c>
      <c r="F397" s="29">
        <f t="shared" si="1"/>
        <v>218.3205919</v>
      </c>
      <c r="G397" s="28">
        <f>'Economic Inputs Parameters'!$B$4</f>
        <v>3000</v>
      </c>
      <c r="H397" s="28">
        <f t="shared" si="2"/>
        <v>-2781.679408</v>
      </c>
      <c r="I397" s="29">
        <v>0.0</v>
      </c>
      <c r="J397" s="28">
        <f t="shared" si="3"/>
        <v>-2781.679408</v>
      </c>
      <c r="K397" s="28">
        <f>1/(1+'Economic Inputs Parameters'!$B$5)^(A397)</f>
        <v>0.03883483772</v>
      </c>
      <c r="L397" s="28">
        <f t="shared" si="4"/>
        <v>-108.0260684</v>
      </c>
      <c r="M397" s="60">
        <f t="shared" si="6"/>
        <v>-5340597.272</v>
      </c>
    </row>
    <row r="398" ht="12.75" customHeight="1">
      <c r="A398" s="49">
        <f t="shared" si="5"/>
        <v>394</v>
      </c>
      <c r="B398" s="28">
        <f>DCA_Forecast_Model!G399</f>
        <v>54.96668832</v>
      </c>
      <c r="C398" s="28">
        <f>DCA_Forecast_Model!H399</f>
        <v>0.7075130431</v>
      </c>
      <c r="D398" s="29">
        <f>B398*'Economic Inputs Parameters'!$B$2</f>
        <v>164.900065</v>
      </c>
      <c r="E398" s="29">
        <f>C398*'Economic Inputs Parameters'!$B$3</f>
        <v>49.52591302</v>
      </c>
      <c r="F398" s="29">
        <f t="shared" si="1"/>
        <v>214.425978</v>
      </c>
      <c r="G398" s="28">
        <f>'Economic Inputs Parameters'!$B$4</f>
        <v>3000</v>
      </c>
      <c r="H398" s="28">
        <f t="shared" si="2"/>
        <v>-2785.574022</v>
      </c>
      <c r="I398" s="29">
        <v>0.0</v>
      </c>
      <c r="J398" s="28">
        <f t="shared" si="3"/>
        <v>-2785.574022</v>
      </c>
      <c r="K398" s="28">
        <f>1/(1+'Economic Inputs Parameters'!$B$5)^(A398)</f>
        <v>0.03851516187</v>
      </c>
      <c r="L398" s="28">
        <f t="shared" si="4"/>
        <v>-107.2868344</v>
      </c>
      <c r="M398" s="60">
        <f t="shared" si="6"/>
        <v>-5340704.558</v>
      </c>
    </row>
    <row r="399" ht="12.75" customHeight="1">
      <c r="A399" s="49">
        <f t="shared" si="5"/>
        <v>395</v>
      </c>
      <c r="B399" s="28">
        <f>DCA_Forecast_Model!G400</f>
        <v>53.98613934</v>
      </c>
      <c r="C399" s="28">
        <f>DCA_Forecast_Model!H400</f>
        <v>0.6948917408</v>
      </c>
      <c r="D399" s="29">
        <f>B399*'Economic Inputs Parameters'!$B$2</f>
        <v>161.958418</v>
      </c>
      <c r="E399" s="29">
        <f>C399*'Economic Inputs Parameters'!$B$3</f>
        <v>48.64242186</v>
      </c>
      <c r="F399" s="29">
        <f t="shared" si="1"/>
        <v>210.6008399</v>
      </c>
      <c r="G399" s="28">
        <f>'Economic Inputs Parameters'!$B$4</f>
        <v>3000</v>
      </c>
      <c r="H399" s="28">
        <f t="shared" si="2"/>
        <v>-2789.39916</v>
      </c>
      <c r="I399" s="29">
        <v>0.0</v>
      </c>
      <c r="J399" s="28">
        <f t="shared" si="3"/>
        <v>-2789.39916</v>
      </c>
      <c r="K399" s="28">
        <f>1/(1+'Economic Inputs Parameters'!$B$5)^(A399)</f>
        <v>0.0381981175</v>
      </c>
      <c r="L399" s="28">
        <f t="shared" si="4"/>
        <v>-106.5497969</v>
      </c>
      <c r="M399" s="60">
        <f t="shared" si="6"/>
        <v>-5340811.108</v>
      </c>
    </row>
    <row r="400" ht="12.75" customHeight="1">
      <c r="A400" s="49">
        <f t="shared" si="5"/>
        <v>396</v>
      </c>
      <c r="B400" s="28">
        <f>DCA_Forecast_Model!G401</f>
        <v>53.02308235</v>
      </c>
      <c r="C400" s="28">
        <f>DCA_Forecast_Model!H401</f>
        <v>0.6824955895</v>
      </c>
      <c r="D400" s="29">
        <f>B400*'Economic Inputs Parameters'!$B$2</f>
        <v>159.0692471</v>
      </c>
      <c r="E400" s="29">
        <f>C400*'Economic Inputs Parameters'!$B$3</f>
        <v>47.77469127</v>
      </c>
      <c r="F400" s="29">
        <f t="shared" si="1"/>
        <v>206.8439383</v>
      </c>
      <c r="G400" s="28">
        <f>'Economic Inputs Parameters'!$B$4</f>
        <v>3000</v>
      </c>
      <c r="H400" s="28">
        <f t="shared" si="2"/>
        <v>-2793.156062</v>
      </c>
      <c r="I400" s="29">
        <v>0.0</v>
      </c>
      <c r="J400" s="28">
        <f t="shared" si="3"/>
        <v>-2793.156062</v>
      </c>
      <c r="K400" s="28">
        <f>1/(1+'Economic Inputs Parameters'!$B$5)^(A400)</f>
        <v>0.03788368293</v>
      </c>
      <c r="L400" s="28">
        <f t="shared" si="4"/>
        <v>-105.8150386</v>
      </c>
      <c r="M400" s="60">
        <f t="shared" si="6"/>
        <v>-5340916.923</v>
      </c>
    </row>
    <row r="401" ht="12.75" customHeight="1">
      <c r="A401" s="49">
        <f t="shared" si="5"/>
        <v>397</v>
      </c>
      <c r="B401" s="28">
        <f>DCA_Forecast_Model!G402</f>
        <v>52.0772053</v>
      </c>
      <c r="C401" s="28">
        <f>DCA_Forecast_Model!H402</f>
        <v>0.6703205728</v>
      </c>
      <c r="D401" s="29">
        <f>B401*'Economic Inputs Parameters'!$B$2</f>
        <v>156.2316159</v>
      </c>
      <c r="E401" s="29">
        <f>C401*'Economic Inputs Parameters'!$B$3</f>
        <v>46.9224401</v>
      </c>
      <c r="F401" s="29">
        <f t="shared" si="1"/>
        <v>203.154056</v>
      </c>
      <c r="G401" s="28">
        <f>'Economic Inputs Parameters'!$B$4</f>
        <v>3000</v>
      </c>
      <c r="H401" s="28">
        <f t="shared" si="2"/>
        <v>-2796.845944</v>
      </c>
      <c r="I401" s="29">
        <v>0.0</v>
      </c>
      <c r="J401" s="28">
        <f t="shared" si="3"/>
        <v>-2796.845944</v>
      </c>
      <c r="K401" s="28">
        <f>1/(1+'Economic Inputs Parameters'!$B$5)^(A401)</f>
        <v>0.03757183669</v>
      </c>
      <c r="L401" s="28">
        <f t="shared" si="4"/>
        <v>-105.082639</v>
      </c>
      <c r="M401" s="60">
        <f t="shared" si="6"/>
        <v>-5341022.006</v>
      </c>
    </row>
    <row r="402" ht="12.75" customHeight="1">
      <c r="A402" s="49">
        <f t="shared" si="5"/>
        <v>398</v>
      </c>
      <c r="B402" s="28">
        <f>DCA_Forecast_Model!G403</f>
        <v>51.14820172</v>
      </c>
      <c r="C402" s="28">
        <f>DCA_Forecast_Model!H403</f>
        <v>0.6583627458</v>
      </c>
      <c r="D402" s="29">
        <f>B402*'Economic Inputs Parameters'!$B$2</f>
        <v>153.4446052</v>
      </c>
      <c r="E402" s="29">
        <f>C402*'Economic Inputs Parameters'!$B$3</f>
        <v>46.0853922</v>
      </c>
      <c r="F402" s="29">
        <f t="shared" si="1"/>
        <v>199.5299974</v>
      </c>
      <c r="G402" s="28">
        <f>'Economic Inputs Parameters'!$B$4</f>
        <v>3000</v>
      </c>
      <c r="H402" s="28">
        <f t="shared" si="2"/>
        <v>-2800.470003</v>
      </c>
      <c r="I402" s="29">
        <v>0.0</v>
      </c>
      <c r="J402" s="28">
        <f t="shared" si="3"/>
        <v>-2800.470003</v>
      </c>
      <c r="K402" s="28">
        <f>1/(1+'Economic Inputs Parameters'!$B$5)^(A402)</f>
        <v>0.03726255746</v>
      </c>
      <c r="L402" s="28">
        <f t="shared" si="4"/>
        <v>-104.3526744</v>
      </c>
      <c r="M402" s="60">
        <f t="shared" si="6"/>
        <v>-5341126.359</v>
      </c>
    </row>
    <row r="403" ht="12.75" customHeight="1">
      <c r="A403" s="49">
        <f t="shared" si="5"/>
        <v>399</v>
      </c>
      <c r="B403" s="28">
        <f>DCA_Forecast_Model!G404</f>
        <v>50.2357706</v>
      </c>
      <c r="C403" s="28">
        <f>DCA_Forecast_Model!H404</f>
        <v>0.6466182341</v>
      </c>
      <c r="D403" s="29">
        <f>B403*'Economic Inputs Parameters'!$B$2</f>
        <v>150.7073118</v>
      </c>
      <c r="E403" s="29">
        <f>C403*'Economic Inputs Parameters'!$B$3</f>
        <v>45.26327638</v>
      </c>
      <c r="F403" s="29">
        <f t="shared" si="1"/>
        <v>195.9705882</v>
      </c>
      <c r="G403" s="28">
        <f>'Economic Inputs Parameters'!$B$4</f>
        <v>3000</v>
      </c>
      <c r="H403" s="28">
        <f t="shared" si="2"/>
        <v>-2804.029412</v>
      </c>
      <c r="I403" s="29">
        <v>0.0</v>
      </c>
      <c r="J403" s="28">
        <f t="shared" si="3"/>
        <v>-2804.029412</v>
      </c>
      <c r="K403" s="28">
        <f>1/(1+'Economic Inputs Parameters'!$B$5)^(A403)</f>
        <v>0.03695582412</v>
      </c>
      <c r="L403" s="28">
        <f t="shared" si="4"/>
        <v>-103.6252178</v>
      </c>
      <c r="M403" s="60">
        <f t="shared" si="6"/>
        <v>-5341229.984</v>
      </c>
    </row>
    <row r="404" ht="12.75" customHeight="1">
      <c r="A404" s="49">
        <f t="shared" si="5"/>
        <v>400</v>
      </c>
      <c r="B404" s="28">
        <f>DCA_Forecast_Model!G405</f>
        <v>49.33961632</v>
      </c>
      <c r="C404" s="28">
        <f>DCA_Forecast_Model!H405</f>
        <v>0.6350832323</v>
      </c>
      <c r="D404" s="29">
        <f>B404*'Economic Inputs Parameters'!$B$2</f>
        <v>148.018849</v>
      </c>
      <c r="E404" s="29">
        <f>C404*'Economic Inputs Parameters'!$B$3</f>
        <v>44.45582626</v>
      </c>
      <c r="F404" s="29">
        <f t="shared" si="1"/>
        <v>192.4746752</v>
      </c>
      <c r="G404" s="28">
        <f>'Economic Inputs Parameters'!$B$4</f>
        <v>3000</v>
      </c>
      <c r="H404" s="28">
        <f t="shared" si="2"/>
        <v>-2807.525325</v>
      </c>
      <c r="I404" s="29">
        <v>0.0</v>
      </c>
      <c r="J404" s="28">
        <f t="shared" si="3"/>
        <v>-2807.525325</v>
      </c>
      <c r="K404" s="28">
        <f>1/(1+'Economic Inputs Parameters'!$B$5)^(A404)</f>
        <v>0.03665161571</v>
      </c>
      <c r="L404" s="28">
        <f t="shared" si="4"/>
        <v>-102.9003393</v>
      </c>
      <c r="M404" s="60">
        <f t="shared" si="6"/>
        <v>-5341332.884</v>
      </c>
    </row>
    <row r="405" ht="12.75" customHeight="1">
      <c r="A405" s="49">
        <f t="shared" si="5"/>
        <v>401</v>
      </c>
      <c r="B405" s="28">
        <f>DCA_Forecast_Model!G406</f>
        <v>48.4594485</v>
      </c>
      <c r="C405" s="28">
        <f>DCA_Forecast_Model!H406</f>
        <v>0.6237540031</v>
      </c>
      <c r="D405" s="29">
        <f>B405*'Economic Inputs Parameters'!$B$2</f>
        <v>145.3783455</v>
      </c>
      <c r="E405" s="29">
        <f>C405*'Economic Inputs Parameters'!$B$3</f>
        <v>43.66278022</v>
      </c>
      <c r="F405" s="29">
        <f t="shared" si="1"/>
        <v>189.0411257</v>
      </c>
      <c r="G405" s="28">
        <f>'Economic Inputs Parameters'!$B$4</f>
        <v>3000</v>
      </c>
      <c r="H405" s="28">
        <f t="shared" si="2"/>
        <v>-2810.958874</v>
      </c>
      <c r="I405" s="29">
        <v>0.0</v>
      </c>
      <c r="J405" s="28">
        <f t="shared" si="3"/>
        <v>-2810.958874</v>
      </c>
      <c r="K405" s="28">
        <f>1/(1+'Economic Inputs Parameters'!$B$5)^(A405)</f>
        <v>0.03634991144</v>
      </c>
      <c r="L405" s="28">
        <f t="shared" si="4"/>
        <v>-102.1781062</v>
      </c>
      <c r="M405" s="60">
        <f t="shared" si="6"/>
        <v>-5341435.062</v>
      </c>
    </row>
    <row r="406" ht="12.75" customHeight="1">
      <c r="A406" s="49">
        <f t="shared" si="5"/>
        <v>402</v>
      </c>
      <c r="B406" s="28">
        <f>DCA_Forecast_Model!G407</f>
        <v>47.59498197</v>
      </c>
      <c r="C406" s="28">
        <f>DCA_Forecast_Model!H407</f>
        <v>0.6126268756</v>
      </c>
      <c r="D406" s="29">
        <f>B406*'Economic Inputs Parameters'!$B$2</f>
        <v>142.7849459</v>
      </c>
      <c r="E406" s="29">
        <f>C406*'Economic Inputs Parameters'!$B$3</f>
        <v>42.88388129</v>
      </c>
      <c r="F406" s="29">
        <f t="shared" si="1"/>
        <v>185.6688272</v>
      </c>
      <c r="G406" s="28">
        <f>'Economic Inputs Parameters'!$B$4</f>
        <v>3000</v>
      </c>
      <c r="H406" s="28">
        <f t="shared" si="2"/>
        <v>-2814.331173</v>
      </c>
      <c r="I406" s="29">
        <v>0.0</v>
      </c>
      <c r="J406" s="28">
        <f t="shared" si="3"/>
        <v>-2814.331173</v>
      </c>
      <c r="K406" s="28">
        <f>1/(1+'Economic Inputs Parameters'!$B$5)^(A406)</f>
        <v>0.03605069071</v>
      </c>
      <c r="L406" s="28">
        <f t="shared" si="4"/>
        <v>-101.4585827</v>
      </c>
      <c r="M406" s="60">
        <f t="shared" si="6"/>
        <v>-5341536.521</v>
      </c>
    </row>
    <row r="407" ht="12.75" customHeight="1">
      <c r="A407" s="49">
        <f t="shared" si="5"/>
        <v>403</v>
      </c>
      <c r="B407" s="28">
        <f>DCA_Forecast_Model!G408</f>
        <v>46.74593662</v>
      </c>
      <c r="C407" s="28">
        <f>DCA_Forecast_Model!H408</f>
        <v>0.6016982446</v>
      </c>
      <c r="D407" s="29">
        <f>B407*'Economic Inputs Parameters'!$B$2</f>
        <v>140.2378099</v>
      </c>
      <c r="E407" s="29">
        <f>C407*'Economic Inputs Parameters'!$B$3</f>
        <v>42.11887712</v>
      </c>
      <c r="F407" s="29">
        <f t="shared" si="1"/>
        <v>182.356687</v>
      </c>
      <c r="G407" s="28">
        <f>'Economic Inputs Parameters'!$B$4</f>
        <v>3000</v>
      </c>
      <c r="H407" s="28">
        <f t="shared" si="2"/>
        <v>-2817.643313</v>
      </c>
      <c r="I407" s="29">
        <v>0.0</v>
      </c>
      <c r="J407" s="28">
        <f t="shared" si="3"/>
        <v>-2817.643313</v>
      </c>
      <c r="K407" s="28">
        <f>1/(1+'Economic Inputs Parameters'!$B$5)^(A407)</f>
        <v>0.03575393307</v>
      </c>
      <c r="L407" s="28">
        <f t="shared" si="4"/>
        <v>-100.7418304</v>
      </c>
      <c r="M407" s="60">
        <f t="shared" si="6"/>
        <v>-5341637.263</v>
      </c>
    </row>
    <row r="408" ht="12.75" customHeight="1">
      <c r="A408" s="49">
        <f t="shared" si="5"/>
        <v>404</v>
      </c>
      <c r="B408" s="28">
        <f>DCA_Forecast_Model!G409</f>
        <v>45.91203737</v>
      </c>
      <c r="C408" s="28">
        <f>DCA_Forecast_Model!H409</f>
        <v>0.5909645691</v>
      </c>
      <c r="D408" s="29">
        <f>B408*'Economic Inputs Parameters'!$B$2</f>
        <v>137.7361121</v>
      </c>
      <c r="E408" s="29">
        <f>C408*'Economic Inputs Parameters'!$B$3</f>
        <v>41.36751984</v>
      </c>
      <c r="F408" s="29">
        <f t="shared" si="1"/>
        <v>179.1036319</v>
      </c>
      <c r="G408" s="28">
        <f>'Economic Inputs Parameters'!$B$4</f>
        <v>3000</v>
      </c>
      <c r="H408" s="28">
        <f t="shared" si="2"/>
        <v>-2820.896368</v>
      </c>
      <c r="I408" s="29">
        <v>0.0</v>
      </c>
      <c r="J408" s="28">
        <f t="shared" si="3"/>
        <v>-2820.896368</v>
      </c>
      <c r="K408" s="28">
        <f>1/(1+'Economic Inputs Parameters'!$B$5)^(A408)</f>
        <v>0.03545961823</v>
      </c>
      <c r="L408" s="28">
        <f t="shared" si="4"/>
        <v>-100.0279083</v>
      </c>
      <c r="M408" s="60">
        <f t="shared" si="6"/>
        <v>-5341737.291</v>
      </c>
    </row>
    <row r="409" ht="12.75" customHeight="1">
      <c r="A409" s="49">
        <f t="shared" si="5"/>
        <v>405</v>
      </c>
      <c r="B409" s="28">
        <f>DCA_Forecast_Model!G410</f>
        <v>45.09301402</v>
      </c>
      <c r="C409" s="28">
        <f>DCA_Forecast_Model!H410</f>
        <v>0.5804223713</v>
      </c>
      <c r="D409" s="29">
        <f>B409*'Economic Inputs Parameters'!$B$2</f>
        <v>135.2790421</v>
      </c>
      <c r="E409" s="29">
        <f>C409*'Economic Inputs Parameters'!$B$3</f>
        <v>40.62956599</v>
      </c>
      <c r="F409" s="29">
        <f t="shared" si="1"/>
        <v>175.9086081</v>
      </c>
      <c r="G409" s="28">
        <f>'Economic Inputs Parameters'!$B$4</f>
        <v>3000</v>
      </c>
      <c r="H409" s="28">
        <f t="shared" si="2"/>
        <v>-2824.091392</v>
      </c>
      <c r="I409" s="29">
        <v>0.0</v>
      </c>
      <c r="J409" s="28">
        <f t="shared" si="3"/>
        <v>-2824.091392</v>
      </c>
      <c r="K409" s="28">
        <f>1/(1+'Economic Inputs Parameters'!$B$5)^(A409)</f>
        <v>0.03516772611</v>
      </c>
      <c r="L409" s="28">
        <f t="shared" si="4"/>
        <v>-99.31687258</v>
      </c>
      <c r="M409" s="60">
        <f t="shared" si="6"/>
        <v>-5341836.607</v>
      </c>
    </row>
    <row r="410" ht="12.75" customHeight="1">
      <c r="A410" s="49">
        <f t="shared" si="5"/>
        <v>406</v>
      </c>
      <c r="B410" s="28">
        <f>DCA_Forecast_Model!G411</f>
        <v>44.2886012</v>
      </c>
      <c r="C410" s="28">
        <f>DCA_Forecast_Model!H411</f>
        <v>0.5700682354</v>
      </c>
      <c r="D410" s="29">
        <f>B410*'Economic Inputs Parameters'!$B$2</f>
        <v>132.8658036</v>
      </c>
      <c r="E410" s="29">
        <f>C410*'Economic Inputs Parameters'!$B$3</f>
        <v>39.90477647</v>
      </c>
      <c r="F410" s="29">
        <f t="shared" si="1"/>
        <v>172.7705801</v>
      </c>
      <c r="G410" s="28">
        <f>'Economic Inputs Parameters'!$B$4</f>
        <v>3000</v>
      </c>
      <c r="H410" s="28">
        <f t="shared" si="2"/>
        <v>-2827.22942</v>
      </c>
      <c r="I410" s="29">
        <v>0.0</v>
      </c>
      <c r="J410" s="28">
        <f t="shared" si="3"/>
        <v>-2827.22942</v>
      </c>
      <c r="K410" s="28">
        <f>1/(1+'Economic Inputs Parameters'!$B$5)^(A410)</f>
        <v>0.03487823674</v>
      </c>
      <c r="L410" s="28">
        <f t="shared" si="4"/>
        <v>-98.60877703</v>
      </c>
      <c r="M410" s="60">
        <f t="shared" si="6"/>
        <v>-5341935.216</v>
      </c>
    </row>
    <row r="411" ht="12.75" customHeight="1">
      <c r="A411" s="49">
        <f t="shared" si="5"/>
        <v>407</v>
      </c>
      <c r="B411" s="28">
        <f>DCA_Forecast_Model!G412</f>
        <v>43.49853828</v>
      </c>
      <c r="C411" s="28">
        <f>DCA_Forecast_Model!H412</f>
        <v>0.5598988065</v>
      </c>
      <c r="D411" s="29">
        <f>B411*'Economic Inputs Parameters'!$B$2</f>
        <v>130.4956148</v>
      </c>
      <c r="E411" s="29">
        <f>C411*'Economic Inputs Parameters'!$B$3</f>
        <v>39.19291646</v>
      </c>
      <c r="F411" s="29">
        <f t="shared" si="1"/>
        <v>169.6885313</v>
      </c>
      <c r="G411" s="28">
        <f>'Economic Inputs Parameters'!$B$4</f>
        <v>3000</v>
      </c>
      <c r="H411" s="28">
        <f t="shared" si="2"/>
        <v>-2830.311469</v>
      </c>
      <c r="I411" s="29">
        <v>0.0</v>
      </c>
      <c r="J411" s="28">
        <f t="shared" si="3"/>
        <v>-2830.311469</v>
      </c>
      <c r="K411" s="28">
        <f>1/(1+'Economic Inputs Parameters'!$B$5)^(A411)</f>
        <v>0.03459113036</v>
      </c>
      <c r="L411" s="28">
        <f t="shared" si="4"/>
        <v>-97.90367298</v>
      </c>
      <c r="M411" s="60">
        <f t="shared" si="6"/>
        <v>-5342033.12</v>
      </c>
    </row>
    <row r="412" ht="12.75" customHeight="1">
      <c r="A412" s="49">
        <f t="shared" si="5"/>
        <v>408</v>
      </c>
      <c r="B412" s="28">
        <f>DCA_Forecast_Model!G413</f>
        <v>42.72256926</v>
      </c>
      <c r="C412" s="28">
        <f>DCA_Forecast_Model!H413</f>
        <v>0.5499107899</v>
      </c>
      <c r="D412" s="29">
        <f>B412*'Economic Inputs Parameters'!$B$2</f>
        <v>128.1677078</v>
      </c>
      <c r="E412" s="29">
        <f>C412*'Economic Inputs Parameters'!$B$3</f>
        <v>38.49375529</v>
      </c>
      <c r="F412" s="29">
        <f t="shared" si="1"/>
        <v>166.6614631</v>
      </c>
      <c r="G412" s="28">
        <f>'Economic Inputs Parameters'!$B$4</f>
        <v>3000</v>
      </c>
      <c r="H412" s="28">
        <f t="shared" si="2"/>
        <v>-2833.338537</v>
      </c>
      <c r="I412" s="29">
        <v>0.0</v>
      </c>
      <c r="J412" s="28">
        <f t="shared" si="3"/>
        <v>-2833.338537</v>
      </c>
      <c r="K412" s="28">
        <f>1/(1+'Economic Inputs Parameters'!$B$5)^(A412)</f>
        <v>0.03430638735</v>
      </c>
      <c r="L412" s="28">
        <f t="shared" si="4"/>
        <v>-97.20160933</v>
      </c>
      <c r="M412" s="60">
        <f t="shared" si="6"/>
        <v>-5342130.322</v>
      </c>
    </row>
    <row r="413" ht="12.75" customHeight="1">
      <c r="A413" s="49">
        <f t="shared" si="5"/>
        <v>409</v>
      </c>
      <c r="B413" s="28">
        <f>DCA_Forecast_Model!G414</f>
        <v>41.96044273</v>
      </c>
      <c r="C413" s="28">
        <f>DCA_Forecast_Model!H414</f>
        <v>0.5401009491</v>
      </c>
      <c r="D413" s="29">
        <f>B413*'Economic Inputs Parameters'!$B$2</f>
        <v>125.8813282</v>
      </c>
      <c r="E413" s="29">
        <f>C413*'Economic Inputs Parameters'!$B$3</f>
        <v>37.80706643</v>
      </c>
      <c r="F413" s="29">
        <f t="shared" si="1"/>
        <v>163.6883946</v>
      </c>
      <c r="G413" s="28">
        <f>'Economic Inputs Parameters'!$B$4</f>
        <v>3000</v>
      </c>
      <c r="H413" s="28">
        <f t="shared" si="2"/>
        <v>-2836.311605</v>
      </c>
      <c r="I413" s="29">
        <v>0.0</v>
      </c>
      <c r="J413" s="28">
        <f t="shared" si="3"/>
        <v>-2836.311605</v>
      </c>
      <c r="K413" s="28">
        <f>1/(1+'Economic Inputs Parameters'!$B$5)^(A413)</f>
        <v>0.03402398824</v>
      </c>
      <c r="L413" s="28">
        <f t="shared" si="4"/>
        <v>-96.50263272</v>
      </c>
      <c r="M413" s="60">
        <f t="shared" si="6"/>
        <v>-5342226.824</v>
      </c>
    </row>
    <row r="414" ht="12.75" customHeight="1">
      <c r="A414" s="49">
        <f t="shared" si="5"/>
        <v>410</v>
      </c>
      <c r="B414" s="28">
        <f>DCA_Forecast_Model!G415</f>
        <v>41.21191175</v>
      </c>
      <c r="C414" s="28">
        <f>DCA_Forecast_Model!H415</f>
        <v>0.5304661057</v>
      </c>
      <c r="D414" s="29">
        <f>B414*'Economic Inputs Parameters'!$B$2</f>
        <v>123.6357353</v>
      </c>
      <c r="E414" s="29">
        <f>C414*'Economic Inputs Parameters'!$B$3</f>
        <v>37.1326274</v>
      </c>
      <c r="F414" s="29">
        <f t="shared" si="1"/>
        <v>160.7683627</v>
      </c>
      <c r="G414" s="28">
        <f>'Economic Inputs Parameters'!$B$4</f>
        <v>3000</v>
      </c>
      <c r="H414" s="28">
        <f t="shared" si="2"/>
        <v>-2839.231637</v>
      </c>
      <c r="I414" s="29">
        <v>0.0</v>
      </c>
      <c r="J414" s="28">
        <f t="shared" si="3"/>
        <v>-2839.231637</v>
      </c>
      <c r="K414" s="28">
        <f>1/(1+'Economic Inputs Parameters'!$B$5)^(A414)</f>
        <v>0.03374391376</v>
      </c>
      <c r="L414" s="28">
        <f t="shared" si="4"/>
        <v>-95.80678751</v>
      </c>
      <c r="M414" s="60">
        <f t="shared" si="6"/>
        <v>-5342322.631</v>
      </c>
    </row>
    <row r="415" ht="12.75" customHeight="1">
      <c r="A415" s="49">
        <f t="shared" si="5"/>
        <v>411</v>
      </c>
      <c r="B415" s="28">
        <f>DCA_Forecast_Model!G416</f>
        <v>40.47673379</v>
      </c>
      <c r="C415" s="28">
        <f>DCA_Forecast_Model!H416</f>
        <v>0.521003138</v>
      </c>
      <c r="D415" s="29">
        <f>B415*'Economic Inputs Parameters'!$B$2</f>
        <v>121.4302014</v>
      </c>
      <c r="E415" s="29">
        <f>C415*'Economic Inputs Parameters'!$B$3</f>
        <v>36.47021966</v>
      </c>
      <c r="F415" s="29">
        <f t="shared" si="1"/>
        <v>157.900421</v>
      </c>
      <c r="G415" s="28">
        <f>'Economic Inputs Parameters'!$B$4</f>
        <v>3000</v>
      </c>
      <c r="H415" s="28">
        <f t="shared" si="2"/>
        <v>-2842.099579</v>
      </c>
      <c r="I415" s="29">
        <v>0.0</v>
      </c>
      <c r="J415" s="28">
        <f t="shared" si="3"/>
        <v>-2842.099579</v>
      </c>
      <c r="K415" s="28">
        <f>1/(1+'Economic Inputs Parameters'!$B$5)^(A415)</f>
        <v>0.03346614476</v>
      </c>
      <c r="L415" s="28">
        <f t="shared" si="4"/>
        <v>-95.11411593</v>
      </c>
      <c r="M415" s="60">
        <f t="shared" si="6"/>
        <v>-5342417.745</v>
      </c>
    </row>
    <row r="416" ht="12.75" customHeight="1">
      <c r="A416" s="49">
        <f t="shared" si="5"/>
        <v>412</v>
      </c>
      <c r="B416" s="28">
        <f>DCA_Forecast_Model!G417</f>
        <v>39.75467065</v>
      </c>
      <c r="C416" s="28">
        <f>DCA_Forecast_Model!H417</f>
        <v>0.5117089799</v>
      </c>
      <c r="D416" s="29">
        <f>B416*'Economic Inputs Parameters'!$B$2</f>
        <v>119.2640119</v>
      </c>
      <c r="E416" s="29">
        <f>C416*'Economic Inputs Parameters'!$B$3</f>
        <v>35.81962859</v>
      </c>
      <c r="F416" s="29">
        <f t="shared" si="1"/>
        <v>155.0836405</v>
      </c>
      <c r="G416" s="28">
        <f>'Economic Inputs Parameters'!$B$4</f>
        <v>3000</v>
      </c>
      <c r="H416" s="28">
        <f t="shared" si="2"/>
        <v>-2844.916359</v>
      </c>
      <c r="I416" s="29">
        <v>0.0</v>
      </c>
      <c r="J416" s="28">
        <f t="shared" si="3"/>
        <v>-2844.916359</v>
      </c>
      <c r="K416" s="28">
        <f>1/(1+'Economic Inputs Parameters'!$B$5)^(A416)</f>
        <v>0.03319066226</v>
      </c>
      <c r="L416" s="28">
        <f t="shared" si="4"/>
        <v>-94.42465805</v>
      </c>
      <c r="M416" s="60">
        <f t="shared" si="6"/>
        <v>-5342512.17</v>
      </c>
    </row>
    <row r="417" ht="12.75" customHeight="1">
      <c r="A417" s="49">
        <f t="shared" si="5"/>
        <v>413</v>
      </c>
      <c r="B417" s="28">
        <f>DCA_Forecast_Model!G418</f>
        <v>39.04548837</v>
      </c>
      <c r="C417" s="28">
        <f>DCA_Forecast_Model!H418</f>
        <v>0.50258062</v>
      </c>
      <c r="D417" s="29">
        <f>B417*'Economic Inputs Parameters'!$B$2</f>
        <v>117.1364651</v>
      </c>
      <c r="E417" s="29">
        <f>C417*'Economic Inputs Parameters'!$B$3</f>
        <v>35.1806434</v>
      </c>
      <c r="F417" s="29">
        <f t="shared" si="1"/>
        <v>152.3171085</v>
      </c>
      <c r="G417" s="28">
        <f>'Economic Inputs Parameters'!$B$4</f>
        <v>3000</v>
      </c>
      <c r="H417" s="28">
        <f t="shared" si="2"/>
        <v>-2847.682892</v>
      </c>
      <c r="I417" s="29">
        <v>0.0</v>
      </c>
      <c r="J417" s="28">
        <f t="shared" si="3"/>
        <v>-2847.682892</v>
      </c>
      <c r="K417" s="28">
        <f>1/(1+'Economic Inputs Parameters'!$B$5)^(A417)</f>
        <v>0.03291744745</v>
      </c>
      <c r="L417" s="28">
        <f t="shared" si="4"/>
        <v>-93.73845193</v>
      </c>
      <c r="M417" s="60">
        <f t="shared" si="6"/>
        <v>-5342605.908</v>
      </c>
    </row>
    <row r="418" ht="12.75" customHeight="1">
      <c r="A418" s="49">
        <f t="shared" si="5"/>
        <v>414</v>
      </c>
      <c r="B418" s="28">
        <f>DCA_Forecast_Model!G419</f>
        <v>38.34895716</v>
      </c>
      <c r="C418" s="28">
        <f>DCA_Forecast_Model!H419</f>
        <v>0.4936151005</v>
      </c>
      <c r="D418" s="29">
        <f>B418*'Economic Inputs Parameters'!$B$2</f>
        <v>115.0468715</v>
      </c>
      <c r="E418" s="29">
        <f>C418*'Economic Inputs Parameters'!$B$3</f>
        <v>34.55305704</v>
      </c>
      <c r="F418" s="29">
        <f t="shared" si="1"/>
        <v>149.5999285</v>
      </c>
      <c r="G418" s="28">
        <f>'Economic Inputs Parameters'!$B$4</f>
        <v>3000</v>
      </c>
      <c r="H418" s="28">
        <f t="shared" si="2"/>
        <v>-2850.400071</v>
      </c>
      <c r="I418" s="29">
        <v>0.0</v>
      </c>
      <c r="J418" s="28">
        <f t="shared" si="3"/>
        <v>-2850.400071</v>
      </c>
      <c r="K418" s="28">
        <f>1/(1+'Economic Inputs Parameters'!$B$5)^(A418)</f>
        <v>0.03264648165</v>
      </c>
      <c r="L418" s="28">
        <f t="shared" si="4"/>
        <v>-93.05553363</v>
      </c>
      <c r="M418" s="60">
        <f t="shared" si="6"/>
        <v>-5342698.964</v>
      </c>
    </row>
    <row r="419" ht="12.75" customHeight="1">
      <c r="A419" s="49">
        <f t="shared" si="5"/>
        <v>415</v>
      </c>
      <c r="B419" s="28">
        <f>DCA_Forecast_Model!G420</f>
        <v>37.66485136</v>
      </c>
      <c r="C419" s="28">
        <f>DCA_Forecast_Model!H420</f>
        <v>0.4848095167</v>
      </c>
      <c r="D419" s="29">
        <f>B419*'Economic Inputs Parameters'!$B$2</f>
        <v>112.9945541</v>
      </c>
      <c r="E419" s="29">
        <f>C419*'Economic Inputs Parameters'!$B$3</f>
        <v>33.93666617</v>
      </c>
      <c r="F419" s="29">
        <f t="shared" si="1"/>
        <v>146.9312202</v>
      </c>
      <c r="G419" s="28">
        <f>'Economic Inputs Parameters'!$B$4</f>
        <v>3000</v>
      </c>
      <c r="H419" s="28">
        <f t="shared" si="2"/>
        <v>-2853.06878</v>
      </c>
      <c r="I419" s="29">
        <v>0.0</v>
      </c>
      <c r="J419" s="28">
        <f t="shared" si="3"/>
        <v>-2853.06878</v>
      </c>
      <c r="K419" s="28">
        <f>1/(1+'Economic Inputs Parameters'!$B$5)^(A419)</f>
        <v>0.03237774635</v>
      </c>
      <c r="L419" s="28">
        <f t="shared" si="4"/>
        <v>-92.37593728</v>
      </c>
      <c r="M419" s="60">
        <f t="shared" si="6"/>
        <v>-5342791.34</v>
      </c>
    </row>
    <row r="420" ht="12.75" customHeight="1">
      <c r="A420" s="49">
        <f t="shared" si="5"/>
        <v>416</v>
      </c>
      <c r="B420" s="28">
        <f>DCA_Forecast_Model!G421</f>
        <v>36.99294929</v>
      </c>
      <c r="C420" s="28">
        <f>DCA_Forecast_Model!H421</f>
        <v>0.4761610155</v>
      </c>
      <c r="D420" s="29">
        <f>B420*'Economic Inputs Parameters'!$B$2</f>
        <v>110.9788479</v>
      </c>
      <c r="E420" s="29">
        <f>C420*'Economic Inputs Parameters'!$B$3</f>
        <v>33.33127108</v>
      </c>
      <c r="F420" s="29">
        <f t="shared" si="1"/>
        <v>144.310119</v>
      </c>
      <c r="G420" s="28">
        <f>'Economic Inputs Parameters'!$B$4</f>
        <v>3000</v>
      </c>
      <c r="H420" s="28">
        <f t="shared" si="2"/>
        <v>-2855.689881</v>
      </c>
      <c r="I420" s="29">
        <v>0.0</v>
      </c>
      <c r="J420" s="28">
        <f t="shared" si="3"/>
        <v>-2855.689881</v>
      </c>
      <c r="K420" s="28">
        <f>1/(1+'Economic Inputs Parameters'!$B$5)^(A420)</f>
        <v>0.0321112232</v>
      </c>
      <c r="L420" s="28">
        <f t="shared" si="4"/>
        <v>-91.69969517</v>
      </c>
      <c r="M420" s="60">
        <f t="shared" si="6"/>
        <v>-5342883.039</v>
      </c>
    </row>
    <row r="421" ht="12.75" customHeight="1">
      <c r="A421" s="49">
        <f t="shared" si="5"/>
        <v>417</v>
      </c>
      <c r="B421" s="28">
        <f>DCA_Forecast_Model!G422</f>
        <v>36.33303327</v>
      </c>
      <c r="C421" s="28">
        <f>DCA_Forecast_Model!H422</f>
        <v>0.4676667945</v>
      </c>
      <c r="D421" s="29">
        <f>B421*'Economic Inputs Parameters'!$B$2</f>
        <v>108.9990998</v>
      </c>
      <c r="E421" s="29">
        <f>C421*'Economic Inputs Parameters'!$B$3</f>
        <v>32.73667562</v>
      </c>
      <c r="F421" s="29">
        <f t="shared" si="1"/>
        <v>141.7357754</v>
      </c>
      <c r="G421" s="28">
        <f>'Economic Inputs Parameters'!$B$4</f>
        <v>3000</v>
      </c>
      <c r="H421" s="28">
        <f t="shared" si="2"/>
        <v>-2858.264225</v>
      </c>
      <c r="I421" s="29">
        <v>0.0</v>
      </c>
      <c r="J421" s="28">
        <f t="shared" si="3"/>
        <v>-2858.264225</v>
      </c>
      <c r="K421" s="28">
        <f>1/(1+'Economic Inputs Parameters'!$B$5)^(A421)</f>
        <v>0.03184689398</v>
      </c>
      <c r="L421" s="28">
        <f t="shared" si="4"/>
        <v>-91.02683773</v>
      </c>
      <c r="M421" s="60">
        <f t="shared" si="6"/>
        <v>-5342974.066</v>
      </c>
    </row>
    <row r="422" ht="12.75" customHeight="1">
      <c r="A422" s="49">
        <f t="shared" si="5"/>
        <v>418</v>
      </c>
      <c r="B422" s="28">
        <f>DCA_Forecast_Model!G423</f>
        <v>35.68488946</v>
      </c>
      <c r="C422" s="28">
        <f>DCA_Forecast_Model!H423</f>
        <v>0.4593241017</v>
      </c>
      <c r="D422" s="29">
        <f>B422*'Economic Inputs Parameters'!$B$2</f>
        <v>107.0546684</v>
      </c>
      <c r="E422" s="29">
        <f>C422*'Economic Inputs Parameters'!$B$3</f>
        <v>32.15268712</v>
      </c>
      <c r="F422" s="29">
        <f t="shared" si="1"/>
        <v>139.2073555</v>
      </c>
      <c r="G422" s="28">
        <f>'Economic Inputs Parameters'!$B$4</f>
        <v>3000</v>
      </c>
      <c r="H422" s="28">
        <f t="shared" si="2"/>
        <v>-2860.792644</v>
      </c>
      <c r="I422" s="29">
        <v>0.0</v>
      </c>
      <c r="J422" s="28">
        <f t="shared" si="3"/>
        <v>-2860.792644</v>
      </c>
      <c r="K422" s="28">
        <f>1/(1+'Economic Inputs Parameters'!$B$5)^(A422)</f>
        <v>0.03158474063</v>
      </c>
      <c r="L422" s="28">
        <f t="shared" si="4"/>
        <v>-90.35739369</v>
      </c>
      <c r="M422" s="60">
        <f t="shared" si="6"/>
        <v>-5343064.424</v>
      </c>
    </row>
    <row r="423" ht="12.75" customHeight="1">
      <c r="A423" s="49">
        <f t="shared" si="5"/>
        <v>419</v>
      </c>
      <c r="B423" s="28">
        <f>DCA_Forecast_Model!G424</f>
        <v>35.04830787</v>
      </c>
      <c r="C423" s="28">
        <f>DCA_Forecast_Model!H424</f>
        <v>0.4511302339</v>
      </c>
      <c r="D423" s="29">
        <f>B423*'Economic Inputs Parameters'!$B$2</f>
        <v>105.1449236</v>
      </c>
      <c r="E423" s="29">
        <f>C423*'Economic Inputs Parameters'!$B$3</f>
        <v>31.57911637</v>
      </c>
      <c r="F423" s="29">
        <f t="shared" si="1"/>
        <v>136.72404</v>
      </c>
      <c r="G423" s="28">
        <f>'Economic Inputs Parameters'!$B$4</f>
        <v>3000</v>
      </c>
      <c r="H423" s="28">
        <f t="shared" si="2"/>
        <v>-2863.27596</v>
      </c>
      <c r="I423" s="29">
        <v>0.0</v>
      </c>
      <c r="J423" s="28">
        <f t="shared" si="3"/>
        <v>-2863.27596</v>
      </c>
      <c r="K423" s="28">
        <f>1/(1+'Economic Inputs Parameters'!$B$5)^(A423)</f>
        <v>0.03132474525</v>
      </c>
      <c r="L423" s="28">
        <f t="shared" si="4"/>
        <v>-89.69139003</v>
      </c>
      <c r="M423" s="60">
        <f t="shared" si="6"/>
        <v>-5343154.115</v>
      </c>
    </row>
    <row r="424" ht="12.75" customHeight="1">
      <c r="A424" s="49">
        <f t="shared" si="5"/>
        <v>420</v>
      </c>
      <c r="B424" s="28">
        <f>DCA_Forecast_Model!G425</f>
        <v>34.42308224</v>
      </c>
      <c r="C424" s="28">
        <f>DCA_Forecast_Model!H425</f>
        <v>0.4430825363</v>
      </c>
      <c r="D424" s="29">
        <f>B424*'Economic Inputs Parameters'!$B$2</f>
        <v>103.2692467</v>
      </c>
      <c r="E424" s="29">
        <f>C424*'Economic Inputs Parameters'!$B$3</f>
        <v>31.01577754</v>
      </c>
      <c r="F424" s="29">
        <f t="shared" si="1"/>
        <v>134.2850243</v>
      </c>
      <c r="G424" s="28">
        <f>'Economic Inputs Parameters'!$B$4</f>
        <v>3000</v>
      </c>
      <c r="H424" s="28">
        <f t="shared" si="2"/>
        <v>-2865.714976</v>
      </c>
      <c r="I424" s="29">
        <v>0.0</v>
      </c>
      <c r="J424" s="28">
        <f t="shared" si="3"/>
        <v>-2865.714976</v>
      </c>
      <c r="K424" s="28">
        <f>1/(1+'Economic Inputs Parameters'!$B$5)^(A424)</f>
        <v>0.03106689006</v>
      </c>
      <c r="L424" s="28">
        <f t="shared" si="4"/>
        <v>-89.0288521</v>
      </c>
      <c r="M424" s="60">
        <f t="shared" si="6"/>
        <v>-5343243.144</v>
      </c>
    </row>
    <row r="425" ht="12.75" customHeight="1">
      <c r="A425" s="49">
        <f t="shared" si="5"/>
        <v>421</v>
      </c>
      <c r="B425" s="28">
        <f>DCA_Forecast_Model!G426</f>
        <v>33.80900999</v>
      </c>
      <c r="C425" s="28">
        <f>DCA_Forecast_Model!H426</f>
        <v>0.4351784012</v>
      </c>
      <c r="D425" s="29">
        <f>B425*'Economic Inputs Parameters'!$B$2</f>
        <v>101.42703</v>
      </c>
      <c r="E425" s="29">
        <f>C425*'Economic Inputs Parameters'!$B$3</f>
        <v>30.46248809</v>
      </c>
      <c r="F425" s="29">
        <f t="shared" si="1"/>
        <v>131.8895181</v>
      </c>
      <c r="G425" s="28">
        <f>'Economic Inputs Parameters'!$B$4</f>
        <v>3000</v>
      </c>
      <c r="H425" s="28">
        <f t="shared" si="2"/>
        <v>-2868.110482</v>
      </c>
      <c r="I425" s="29">
        <v>0.0</v>
      </c>
      <c r="J425" s="28">
        <f t="shared" si="3"/>
        <v>-2868.110482</v>
      </c>
      <c r="K425" s="28">
        <f>1/(1+'Economic Inputs Parameters'!$B$5)^(A425)</f>
        <v>0.03081115745</v>
      </c>
      <c r="L425" s="28">
        <f t="shared" si="4"/>
        <v>-88.36980366</v>
      </c>
      <c r="M425" s="60">
        <f t="shared" si="6"/>
        <v>-5343331.514</v>
      </c>
    </row>
    <row r="426" ht="12.75" customHeight="1">
      <c r="A426" s="49">
        <f t="shared" si="5"/>
        <v>422</v>
      </c>
      <c r="B426" s="28">
        <f>DCA_Forecast_Model!G427</f>
        <v>33.20589216</v>
      </c>
      <c r="C426" s="28">
        <f>DCA_Forecast_Model!H427</f>
        <v>0.4274152678</v>
      </c>
      <c r="D426" s="29">
        <f>B426*'Economic Inputs Parameters'!$B$2</f>
        <v>99.61767647</v>
      </c>
      <c r="E426" s="29">
        <f>C426*'Economic Inputs Parameters'!$B$3</f>
        <v>29.91906875</v>
      </c>
      <c r="F426" s="29">
        <f t="shared" si="1"/>
        <v>129.5367452</v>
      </c>
      <c r="G426" s="28">
        <f>'Economic Inputs Parameters'!$B$4</f>
        <v>3000</v>
      </c>
      <c r="H426" s="28">
        <f t="shared" si="2"/>
        <v>-2870.463255</v>
      </c>
      <c r="I426" s="29">
        <v>0.0</v>
      </c>
      <c r="J426" s="28">
        <f t="shared" si="3"/>
        <v>-2870.463255</v>
      </c>
      <c r="K426" s="28">
        <f>1/(1+'Economic Inputs Parameters'!$B$5)^(A426)</f>
        <v>0.03055752996</v>
      </c>
      <c r="L426" s="28">
        <f t="shared" si="4"/>
        <v>-87.7142669</v>
      </c>
      <c r="M426" s="60">
        <f t="shared" si="6"/>
        <v>-5343419.228</v>
      </c>
    </row>
    <row r="427" ht="12.75" customHeight="1">
      <c r="A427" s="49">
        <f t="shared" si="5"/>
        <v>423</v>
      </c>
      <c r="B427" s="28">
        <f>DCA_Forecast_Model!G428</f>
        <v>32.61353332</v>
      </c>
      <c r="C427" s="28">
        <f>DCA_Forecast_Model!H428</f>
        <v>0.4197906207</v>
      </c>
      <c r="D427" s="29">
        <f>B427*'Economic Inputs Parameters'!$B$2</f>
        <v>97.84059996</v>
      </c>
      <c r="E427" s="29">
        <f>C427*'Economic Inputs Parameters'!$B$3</f>
        <v>29.38534345</v>
      </c>
      <c r="F427" s="29">
        <f t="shared" si="1"/>
        <v>127.2259434</v>
      </c>
      <c r="G427" s="28">
        <f>'Economic Inputs Parameters'!$B$4</f>
        <v>3000</v>
      </c>
      <c r="H427" s="28">
        <f t="shared" si="2"/>
        <v>-2872.774057</v>
      </c>
      <c r="I427" s="29">
        <v>0.0</v>
      </c>
      <c r="J427" s="28">
        <f t="shared" si="3"/>
        <v>-2872.774057</v>
      </c>
      <c r="K427" s="28">
        <f>1/(1+'Economic Inputs Parameters'!$B$5)^(A427)</f>
        <v>0.03030599024</v>
      </c>
      <c r="L427" s="28">
        <f t="shared" si="4"/>
        <v>-87.06226251</v>
      </c>
      <c r="M427" s="60">
        <f t="shared" si="6"/>
        <v>-5343506.29</v>
      </c>
    </row>
    <row r="428" ht="12.75" customHeight="1">
      <c r="A428" s="49">
        <f t="shared" si="5"/>
        <v>424</v>
      </c>
      <c r="B428" s="28">
        <f>DCA_Forecast_Model!G429</f>
        <v>32.03174156</v>
      </c>
      <c r="C428" s="28">
        <f>DCA_Forecast_Model!H429</f>
        <v>0.4123019894</v>
      </c>
      <c r="D428" s="29">
        <f>B428*'Economic Inputs Parameters'!$B$2</f>
        <v>96.09522467</v>
      </c>
      <c r="E428" s="29">
        <f>C428*'Economic Inputs Parameters'!$B$3</f>
        <v>28.86113926</v>
      </c>
      <c r="F428" s="29">
        <f t="shared" si="1"/>
        <v>124.9563639</v>
      </c>
      <c r="G428" s="28">
        <f>'Economic Inputs Parameters'!$B$4</f>
        <v>3000</v>
      </c>
      <c r="H428" s="28">
        <f t="shared" si="2"/>
        <v>-2875.043636</v>
      </c>
      <c r="I428" s="29">
        <v>0.0</v>
      </c>
      <c r="J428" s="28">
        <f t="shared" si="3"/>
        <v>-2875.043636</v>
      </c>
      <c r="K428" s="28">
        <f>1/(1+'Economic Inputs Parameters'!$B$5)^(A428)</f>
        <v>0.03005652111</v>
      </c>
      <c r="L428" s="28">
        <f t="shared" si="4"/>
        <v>-86.41380975</v>
      </c>
      <c r="M428" s="60">
        <f t="shared" si="6"/>
        <v>-5343592.704</v>
      </c>
    </row>
    <row r="429" ht="12.75" customHeight="1">
      <c r="A429" s="49">
        <f t="shared" si="5"/>
        <v>425</v>
      </c>
      <c r="B429" s="28">
        <f>DCA_Forecast_Model!G430</f>
        <v>31.46032835</v>
      </c>
      <c r="C429" s="28">
        <f>DCA_Forecast_Model!H430</f>
        <v>0.4049469475</v>
      </c>
      <c r="D429" s="29">
        <f>B429*'Economic Inputs Parameters'!$B$2</f>
        <v>94.38098506</v>
      </c>
      <c r="E429" s="29">
        <f>C429*'Economic Inputs Parameters'!$B$3</f>
        <v>28.34628633</v>
      </c>
      <c r="F429" s="29">
        <f t="shared" si="1"/>
        <v>122.7272714</v>
      </c>
      <c r="G429" s="28">
        <f>'Economic Inputs Parameters'!$B$4</f>
        <v>3000</v>
      </c>
      <c r="H429" s="28">
        <f t="shared" si="2"/>
        <v>-2877.272729</v>
      </c>
      <c r="I429" s="29">
        <v>0.0</v>
      </c>
      <c r="J429" s="28">
        <f t="shared" si="3"/>
        <v>-2877.272729</v>
      </c>
      <c r="K429" s="28">
        <f>1/(1+'Economic Inputs Parameters'!$B$5)^(A429)</f>
        <v>0.02980910554</v>
      </c>
      <c r="L429" s="28">
        <f t="shared" si="4"/>
        <v>-85.76892642</v>
      </c>
      <c r="M429" s="60">
        <f t="shared" si="6"/>
        <v>-5343678.473</v>
      </c>
    </row>
    <row r="430" ht="12.75" customHeight="1">
      <c r="A430" s="49">
        <f t="shared" si="5"/>
        <v>426</v>
      </c>
      <c r="B430" s="28">
        <f>DCA_Forecast_Model!G431</f>
        <v>30.89910858</v>
      </c>
      <c r="C430" s="28">
        <f>DCA_Forecast_Model!H431</f>
        <v>0.3977231121</v>
      </c>
      <c r="D430" s="29">
        <f>B430*'Economic Inputs Parameters'!$B$2</f>
        <v>92.69732573</v>
      </c>
      <c r="E430" s="29">
        <f>C430*'Economic Inputs Parameters'!$B$3</f>
        <v>27.84061784</v>
      </c>
      <c r="F430" s="29">
        <f t="shared" si="1"/>
        <v>120.5379436</v>
      </c>
      <c r="G430" s="28">
        <f>'Economic Inputs Parameters'!$B$4</f>
        <v>3000</v>
      </c>
      <c r="H430" s="28">
        <f t="shared" si="2"/>
        <v>-2879.462056</v>
      </c>
      <c r="I430" s="29">
        <v>0.0</v>
      </c>
      <c r="J430" s="28">
        <f t="shared" si="3"/>
        <v>-2879.462056</v>
      </c>
      <c r="K430" s="28">
        <f>1/(1+'Economic Inputs Parameters'!$B$5)^(A430)</f>
        <v>0.02956372661</v>
      </c>
      <c r="L430" s="28">
        <f t="shared" si="4"/>
        <v>-85.12762901</v>
      </c>
      <c r="M430" s="60">
        <f t="shared" si="6"/>
        <v>-5343763.601</v>
      </c>
    </row>
    <row r="431" ht="12.75" customHeight="1">
      <c r="A431" s="49">
        <f t="shared" si="5"/>
        <v>427</v>
      </c>
      <c r="B431" s="28">
        <f>DCA_Forecast_Model!G432</f>
        <v>30.34790038</v>
      </c>
      <c r="C431" s="28">
        <f>DCA_Forecast_Model!H432</f>
        <v>0.3906281423</v>
      </c>
      <c r="D431" s="29">
        <f>B431*'Economic Inputs Parameters'!$B$2</f>
        <v>91.04370113</v>
      </c>
      <c r="E431" s="29">
        <f>C431*'Economic Inputs Parameters'!$B$3</f>
        <v>27.34396996</v>
      </c>
      <c r="F431" s="29">
        <f t="shared" si="1"/>
        <v>118.3876711</v>
      </c>
      <c r="G431" s="28">
        <f>'Economic Inputs Parameters'!$B$4</f>
        <v>3000</v>
      </c>
      <c r="H431" s="28">
        <f t="shared" si="2"/>
        <v>-2881.612329</v>
      </c>
      <c r="I431" s="29">
        <v>0.0</v>
      </c>
      <c r="J431" s="28">
        <f t="shared" si="3"/>
        <v>-2881.612329</v>
      </c>
      <c r="K431" s="28">
        <f>1/(1+'Economic Inputs Parameters'!$B$5)^(A431)</f>
        <v>0.02932036755</v>
      </c>
      <c r="L431" s="28">
        <f t="shared" si="4"/>
        <v>-84.48993263</v>
      </c>
      <c r="M431" s="60">
        <f t="shared" si="6"/>
        <v>-5343848.09</v>
      </c>
    </row>
    <row r="432" ht="12.75" customHeight="1">
      <c r="A432" s="49">
        <f t="shared" si="5"/>
        <v>428</v>
      </c>
      <c r="B432" s="28">
        <f>DCA_Forecast_Model!G433</f>
        <v>29.80652516</v>
      </c>
      <c r="C432" s="28">
        <f>DCA_Forecast_Model!H433</f>
        <v>0.3836597395</v>
      </c>
      <c r="D432" s="29">
        <f>B432*'Economic Inputs Parameters'!$B$2</f>
        <v>89.41957549</v>
      </c>
      <c r="E432" s="29">
        <f>C432*'Economic Inputs Parameters'!$B$3</f>
        <v>26.85618177</v>
      </c>
      <c r="F432" s="29">
        <f t="shared" si="1"/>
        <v>116.2757573</v>
      </c>
      <c r="G432" s="28">
        <f>'Economic Inputs Parameters'!$B$4</f>
        <v>3000</v>
      </c>
      <c r="H432" s="28">
        <f t="shared" si="2"/>
        <v>-2883.724243</v>
      </c>
      <c r="I432" s="29">
        <v>0.0</v>
      </c>
      <c r="J432" s="28">
        <f t="shared" si="3"/>
        <v>-2883.724243</v>
      </c>
      <c r="K432" s="28">
        <f>1/(1+'Economic Inputs Parameters'!$B$5)^(A432)</f>
        <v>0.02907901176</v>
      </c>
      <c r="L432" s="28">
        <f t="shared" si="4"/>
        <v>-83.85585116</v>
      </c>
      <c r="M432" s="60">
        <f t="shared" si="6"/>
        <v>-5343931.946</v>
      </c>
    </row>
    <row r="433" ht="12.75" customHeight="1">
      <c r="A433" s="49">
        <f t="shared" si="5"/>
        <v>429</v>
      </c>
      <c r="B433" s="28">
        <f>DCA_Forecast_Model!G434</f>
        <v>29.27480753</v>
      </c>
      <c r="C433" s="28">
        <f>DCA_Forecast_Model!H434</f>
        <v>0.3768156459</v>
      </c>
      <c r="D433" s="29">
        <f>B433*'Economic Inputs Parameters'!$B$2</f>
        <v>87.82442258</v>
      </c>
      <c r="E433" s="29">
        <f>C433*'Economic Inputs Parameters'!$B$3</f>
        <v>26.37709521</v>
      </c>
      <c r="F433" s="29">
        <f t="shared" si="1"/>
        <v>114.2015178</v>
      </c>
      <c r="G433" s="28">
        <f>'Economic Inputs Parameters'!$B$4</f>
        <v>3000</v>
      </c>
      <c r="H433" s="28">
        <f t="shared" si="2"/>
        <v>-2885.798482</v>
      </c>
      <c r="I433" s="29">
        <v>0.0</v>
      </c>
      <c r="J433" s="28">
        <f t="shared" si="3"/>
        <v>-2885.798482</v>
      </c>
      <c r="K433" s="28">
        <f>1/(1+'Economic Inputs Parameters'!$B$5)^(A433)</f>
        <v>0.02883964272</v>
      </c>
      <c r="L433" s="28">
        <f t="shared" si="4"/>
        <v>-83.2253972</v>
      </c>
      <c r="M433" s="60">
        <f t="shared" si="6"/>
        <v>-5344015.172</v>
      </c>
    </row>
    <row r="434" ht="12.75" customHeight="1">
      <c r="A434" s="49">
        <f t="shared" si="5"/>
        <v>430</v>
      </c>
      <c r="B434" s="28">
        <f>DCA_Forecast_Model!G435</f>
        <v>28.75257518</v>
      </c>
      <c r="C434" s="28">
        <f>DCA_Forecast_Model!H435</f>
        <v>0.3700936437</v>
      </c>
      <c r="D434" s="29">
        <f>B434*'Economic Inputs Parameters'!$B$2</f>
        <v>86.25772555</v>
      </c>
      <c r="E434" s="29">
        <f>C434*'Economic Inputs Parameters'!$B$3</f>
        <v>25.90655506</v>
      </c>
      <c r="F434" s="29">
        <f t="shared" si="1"/>
        <v>112.1642806</v>
      </c>
      <c r="G434" s="28">
        <f>'Economic Inputs Parameters'!$B$4</f>
        <v>3000</v>
      </c>
      <c r="H434" s="28">
        <f t="shared" si="2"/>
        <v>-2887.835719</v>
      </c>
      <c r="I434" s="29">
        <v>0.0</v>
      </c>
      <c r="J434" s="28">
        <f t="shared" si="3"/>
        <v>-2887.835719</v>
      </c>
      <c r="K434" s="28">
        <f>1/(1+'Economic Inputs Parameters'!$B$5)^(A434)</f>
        <v>0.0286022441</v>
      </c>
      <c r="L434" s="28">
        <f t="shared" si="4"/>
        <v>-82.59858216</v>
      </c>
      <c r="M434" s="60">
        <f t="shared" si="6"/>
        <v>-5344097.77</v>
      </c>
    </row>
    <row r="435" ht="12.75" customHeight="1">
      <c r="A435" s="49">
        <f t="shared" si="5"/>
        <v>431</v>
      </c>
      <c r="B435" s="28">
        <f>DCA_Forecast_Model!G436</f>
        <v>28.23965892</v>
      </c>
      <c r="C435" s="28">
        <f>DCA_Forecast_Model!H436</f>
        <v>0.3634915552</v>
      </c>
      <c r="D435" s="29">
        <f>B435*'Economic Inputs Parameters'!$B$2</f>
        <v>84.71897677</v>
      </c>
      <c r="E435" s="29">
        <f>C435*'Economic Inputs Parameters'!$B$3</f>
        <v>25.44440886</v>
      </c>
      <c r="F435" s="29">
        <f t="shared" si="1"/>
        <v>110.1633856</v>
      </c>
      <c r="G435" s="28">
        <f>'Economic Inputs Parameters'!$B$4</f>
        <v>3000</v>
      </c>
      <c r="H435" s="28">
        <f t="shared" si="2"/>
        <v>-2889.836614</v>
      </c>
      <c r="I435" s="29">
        <v>0.0</v>
      </c>
      <c r="J435" s="28">
        <f t="shared" si="3"/>
        <v>-2889.836614</v>
      </c>
      <c r="K435" s="28">
        <f>1/(1+'Economic Inputs Parameters'!$B$5)^(A435)</f>
        <v>0.02836679966</v>
      </c>
      <c r="L435" s="28">
        <f t="shared" si="4"/>
        <v>-81.97541629</v>
      </c>
      <c r="M435" s="60">
        <f t="shared" si="6"/>
        <v>-5344179.746</v>
      </c>
    </row>
    <row r="436" ht="12.75" customHeight="1">
      <c r="A436" s="49">
        <f t="shared" si="5"/>
        <v>432</v>
      </c>
      <c r="B436" s="28">
        <f>DCA_Forecast_Model!G437</f>
        <v>27.73589256</v>
      </c>
      <c r="C436" s="28">
        <f>DCA_Forecast_Model!H437</f>
        <v>0.3570072411</v>
      </c>
      <c r="D436" s="29">
        <f>B436*'Economic Inputs Parameters'!$B$2</f>
        <v>83.20767769</v>
      </c>
      <c r="E436" s="29">
        <f>C436*'Economic Inputs Parameters'!$B$3</f>
        <v>24.99050688</v>
      </c>
      <c r="F436" s="29">
        <f t="shared" si="1"/>
        <v>108.1981846</v>
      </c>
      <c r="G436" s="28">
        <f>'Economic Inputs Parameters'!$B$4</f>
        <v>3000</v>
      </c>
      <c r="H436" s="28">
        <f t="shared" si="2"/>
        <v>-2891.801815</v>
      </c>
      <c r="I436" s="29">
        <v>0.0</v>
      </c>
      <c r="J436" s="28">
        <f t="shared" si="3"/>
        <v>-2891.801815</v>
      </c>
      <c r="K436" s="28">
        <f>1/(1+'Economic Inputs Parameters'!$B$5)^(A436)</f>
        <v>0.02813329332</v>
      </c>
      <c r="L436" s="28">
        <f t="shared" si="4"/>
        <v>-81.35590871</v>
      </c>
      <c r="M436" s="60">
        <f t="shared" si="6"/>
        <v>-5344261.102</v>
      </c>
    </row>
    <row r="437" ht="12.75" customHeight="1">
      <c r="A437" s="49">
        <f t="shared" si="5"/>
        <v>433</v>
      </c>
      <c r="B437" s="28">
        <f>DCA_Forecast_Model!G438</f>
        <v>27.24111287</v>
      </c>
      <c r="C437" s="28">
        <f>DCA_Forecast_Model!H438</f>
        <v>0.3506386005</v>
      </c>
      <c r="D437" s="29">
        <f>B437*'Economic Inputs Parameters'!$B$2</f>
        <v>81.72333862</v>
      </c>
      <c r="E437" s="29">
        <f>C437*'Economic Inputs Parameters'!$B$3</f>
        <v>24.54470203</v>
      </c>
      <c r="F437" s="29">
        <f t="shared" si="1"/>
        <v>106.2680407</v>
      </c>
      <c r="G437" s="28">
        <f>'Economic Inputs Parameters'!$B$4</f>
        <v>3000</v>
      </c>
      <c r="H437" s="28">
        <f t="shared" si="2"/>
        <v>-2893.731959</v>
      </c>
      <c r="I437" s="29">
        <v>0.0</v>
      </c>
      <c r="J437" s="28">
        <f t="shared" si="3"/>
        <v>-2893.731959</v>
      </c>
      <c r="K437" s="28">
        <f>1/(1+'Economic Inputs Parameters'!$B$5)^(A437)</f>
        <v>0.02790170914</v>
      </c>
      <c r="L437" s="28">
        <f t="shared" si="4"/>
        <v>-80.74006746</v>
      </c>
      <c r="M437" s="60">
        <f t="shared" si="6"/>
        <v>-5344341.842</v>
      </c>
    </row>
    <row r="438" ht="12.75" customHeight="1">
      <c r="A438" s="49">
        <f t="shared" si="5"/>
        <v>434</v>
      </c>
      <c r="B438" s="28">
        <f>DCA_Forecast_Model!G439</f>
        <v>26.75515954</v>
      </c>
      <c r="C438" s="28">
        <f>DCA_Forecast_Model!H439</f>
        <v>0.3443835698</v>
      </c>
      <c r="D438" s="29">
        <f>B438*'Economic Inputs Parameters'!$B$2</f>
        <v>80.26547862</v>
      </c>
      <c r="E438" s="29">
        <f>C438*'Economic Inputs Parameters'!$B$3</f>
        <v>24.10684989</v>
      </c>
      <c r="F438" s="29">
        <f t="shared" si="1"/>
        <v>104.3723285</v>
      </c>
      <c r="G438" s="28">
        <f>'Economic Inputs Parameters'!$B$4</f>
        <v>3000</v>
      </c>
      <c r="H438" s="28">
        <f t="shared" si="2"/>
        <v>-2895.627671</v>
      </c>
      <c r="I438" s="29">
        <v>0.0</v>
      </c>
      <c r="J438" s="28">
        <f t="shared" si="3"/>
        <v>-2895.627671</v>
      </c>
      <c r="K438" s="28">
        <f>1/(1+'Economic Inputs Parameters'!$B$5)^(A438)</f>
        <v>0.02767203128</v>
      </c>
      <c r="L438" s="28">
        <f t="shared" si="4"/>
        <v>-80.1278995</v>
      </c>
      <c r="M438" s="60">
        <f t="shared" si="6"/>
        <v>-5344421.97</v>
      </c>
    </row>
    <row r="439" ht="12.75" customHeight="1">
      <c r="A439" s="49">
        <f t="shared" si="5"/>
        <v>435</v>
      </c>
      <c r="B439" s="28">
        <f>DCA_Forecast_Model!G440</f>
        <v>26.27787512</v>
      </c>
      <c r="C439" s="28">
        <f>DCA_Forecast_Model!H440</f>
        <v>0.3382401225</v>
      </c>
      <c r="D439" s="29">
        <f>B439*'Economic Inputs Parameters'!$B$2</f>
        <v>78.83362535</v>
      </c>
      <c r="E439" s="29">
        <f>C439*'Economic Inputs Parameters'!$B$3</f>
        <v>23.67680857</v>
      </c>
      <c r="F439" s="29">
        <f t="shared" si="1"/>
        <v>102.5104339</v>
      </c>
      <c r="G439" s="28">
        <f>'Economic Inputs Parameters'!$B$4</f>
        <v>3000</v>
      </c>
      <c r="H439" s="28">
        <f t="shared" si="2"/>
        <v>-2897.489566</v>
      </c>
      <c r="I439" s="29">
        <v>0.0</v>
      </c>
      <c r="J439" s="28">
        <f t="shared" si="3"/>
        <v>-2897.489566</v>
      </c>
      <c r="K439" s="28">
        <f>1/(1+'Economic Inputs Parameters'!$B$5)^(A439)</f>
        <v>0.02744424405</v>
      </c>
      <c r="L439" s="28">
        <f t="shared" si="4"/>
        <v>-79.51941079</v>
      </c>
      <c r="M439" s="60">
        <f t="shared" si="6"/>
        <v>-5344501.489</v>
      </c>
    </row>
    <row r="440" ht="12.75" customHeight="1">
      <c r="A440" s="49">
        <f t="shared" si="5"/>
        <v>436</v>
      </c>
      <c r="B440" s="28">
        <f>DCA_Forecast_Model!G441</f>
        <v>25.80910495</v>
      </c>
      <c r="C440" s="28">
        <f>DCA_Forecast_Model!H441</f>
        <v>0.3322062679</v>
      </c>
      <c r="D440" s="29">
        <f>B440*'Economic Inputs Parameters'!$B$2</f>
        <v>77.42731486</v>
      </c>
      <c r="E440" s="29">
        <f>C440*'Economic Inputs Parameters'!$B$3</f>
        <v>23.25443875</v>
      </c>
      <c r="F440" s="29">
        <f t="shared" si="1"/>
        <v>100.6817536</v>
      </c>
      <c r="G440" s="28">
        <f>'Economic Inputs Parameters'!$B$4</f>
        <v>3000</v>
      </c>
      <c r="H440" s="28">
        <f t="shared" si="2"/>
        <v>-2899.318246</v>
      </c>
      <c r="I440" s="29">
        <v>0.0</v>
      </c>
      <c r="J440" s="28">
        <f t="shared" si="3"/>
        <v>-2899.318246</v>
      </c>
      <c r="K440" s="28">
        <f>1/(1+'Economic Inputs Parameters'!$B$5)^(A440)</f>
        <v>0.0272183319</v>
      </c>
      <c r="L440" s="28">
        <f t="shared" si="4"/>
        <v>-78.91460631</v>
      </c>
      <c r="M440" s="60">
        <f t="shared" si="6"/>
        <v>-5344580.404</v>
      </c>
    </row>
    <row r="441" ht="12.75" customHeight="1">
      <c r="A441" s="49">
        <f t="shared" si="5"/>
        <v>437</v>
      </c>
      <c r="B441" s="28">
        <f>DCA_Forecast_Model!G442</f>
        <v>25.34869716</v>
      </c>
      <c r="C441" s="28">
        <f>DCA_Forecast_Model!H442</f>
        <v>0.326280051</v>
      </c>
      <c r="D441" s="29">
        <f>B441*'Economic Inputs Parameters'!$B$2</f>
        <v>76.04609149</v>
      </c>
      <c r="E441" s="29">
        <f>C441*'Economic Inputs Parameters'!$B$3</f>
        <v>22.83960357</v>
      </c>
      <c r="F441" s="29">
        <f t="shared" si="1"/>
        <v>98.88569506</v>
      </c>
      <c r="G441" s="28">
        <f>'Economic Inputs Parameters'!$B$4</f>
        <v>3000</v>
      </c>
      <c r="H441" s="28">
        <f t="shared" si="2"/>
        <v>-2901.114305</v>
      </c>
      <c r="I441" s="29">
        <v>0.0</v>
      </c>
      <c r="J441" s="28">
        <f t="shared" si="3"/>
        <v>-2901.114305</v>
      </c>
      <c r="K441" s="28">
        <f>1/(1+'Economic Inputs Parameters'!$B$5)^(A441)</f>
        <v>0.02699427938</v>
      </c>
      <c r="L441" s="28">
        <f t="shared" si="4"/>
        <v>-78.31349006</v>
      </c>
      <c r="M441" s="60">
        <f t="shared" si="6"/>
        <v>-5344658.717</v>
      </c>
    </row>
    <row r="442" ht="12.75" customHeight="1">
      <c r="A442" s="49">
        <f t="shared" si="5"/>
        <v>438</v>
      </c>
      <c r="B442" s="28">
        <f>DCA_Forecast_Model!G443</f>
        <v>24.89650258</v>
      </c>
      <c r="C442" s="28">
        <f>DCA_Forecast_Model!H443</f>
        <v>0.3204595517</v>
      </c>
      <c r="D442" s="29">
        <f>B442*'Economic Inputs Parameters'!$B$2</f>
        <v>74.68950773</v>
      </c>
      <c r="E442" s="29">
        <f>C442*'Economic Inputs Parameters'!$B$3</f>
        <v>22.43216862</v>
      </c>
      <c r="F442" s="29">
        <f t="shared" si="1"/>
        <v>97.12167635</v>
      </c>
      <c r="G442" s="28">
        <f>'Economic Inputs Parameters'!$B$4</f>
        <v>3000</v>
      </c>
      <c r="H442" s="28">
        <f t="shared" si="2"/>
        <v>-2902.878324</v>
      </c>
      <c r="I442" s="29">
        <v>0.0</v>
      </c>
      <c r="J442" s="28">
        <f t="shared" si="3"/>
        <v>-2902.878324</v>
      </c>
      <c r="K442" s="28">
        <f>1/(1+'Economic Inputs Parameters'!$B$5)^(A442)</f>
        <v>0.02677207119</v>
      </c>
      <c r="L442" s="28">
        <f t="shared" si="4"/>
        <v>-77.71606513</v>
      </c>
      <c r="M442" s="60">
        <f t="shared" si="6"/>
        <v>-5344736.433</v>
      </c>
    </row>
    <row r="443" ht="12.75" customHeight="1">
      <c r="A443" s="49">
        <f t="shared" si="5"/>
        <v>439</v>
      </c>
      <c r="B443" s="28">
        <f>DCA_Forecast_Model!G444</f>
        <v>24.45237467</v>
      </c>
      <c r="C443" s="28">
        <f>DCA_Forecast_Model!H444</f>
        <v>0.3147428842</v>
      </c>
      <c r="D443" s="29">
        <f>B443*'Economic Inputs Parameters'!$B$2</f>
        <v>73.35712401</v>
      </c>
      <c r="E443" s="29">
        <f>C443*'Economic Inputs Parameters'!$B$3</f>
        <v>22.03200189</v>
      </c>
      <c r="F443" s="29">
        <f t="shared" si="1"/>
        <v>95.38912591</v>
      </c>
      <c r="G443" s="28">
        <f>'Economic Inputs Parameters'!$B$4</f>
        <v>3000</v>
      </c>
      <c r="H443" s="28">
        <f t="shared" si="2"/>
        <v>-2904.610874</v>
      </c>
      <c r="I443" s="29">
        <v>0.0</v>
      </c>
      <c r="J443" s="28">
        <f t="shared" si="3"/>
        <v>-2904.610874</v>
      </c>
      <c r="K443" s="28">
        <f>1/(1+'Economic Inputs Parameters'!$B$5)^(A443)</f>
        <v>0.02655169214</v>
      </c>
      <c r="L443" s="28">
        <f t="shared" si="4"/>
        <v>-77.12233373</v>
      </c>
      <c r="M443" s="60">
        <f t="shared" si="6"/>
        <v>-5344813.555</v>
      </c>
    </row>
    <row r="444" ht="12.75" customHeight="1">
      <c r="A444" s="49">
        <f t="shared" si="5"/>
        <v>440</v>
      </c>
      <c r="B444" s="28">
        <f>DCA_Forecast_Model!G445</f>
        <v>24.01616955</v>
      </c>
      <c r="C444" s="28">
        <f>DCA_Forecast_Model!H445</f>
        <v>0.309128196</v>
      </c>
      <c r="D444" s="29">
        <f>B444*'Economic Inputs Parameters'!$B$2</f>
        <v>72.04850865</v>
      </c>
      <c r="E444" s="29">
        <f>C444*'Economic Inputs Parameters'!$B$3</f>
        <v>21.63897372</v>
      </c>
      <c r="F444" s="29">
        <f t="shared" si="1"/>
        <v>93.68748238</v>
      </c>
      <c r="G444" s="28">
        <f>'Economic Inputs Parameters'!$B$4</f>
        <v>3000</v>
      </c>
      <c r="H444" s="28">
        <f t="shared" si="2"/>
        <v>-2906.312518</v>
      </c>
      <c r="I444" s="29">
        <v>0.0</v>
      </c>
      <c r="J444" s="28">
        <f t="shared" si="3"/>
        <v>-2906.312518</v>
      </c>
      <c r="K444" s="28">
        <f>1/(1+'Economic Inputs Parameters'!$B$5)^(A444)</f>
        <v>0.02633312719</v>
      </c>
      <c r="L444" s="28">
        <f t="shared" si="4"/>
        <v>-76.53229718</v>
      </c>
      <c r="M444" s="60">
        <f t="shared" si="6"/>
        <v>-5344890.088</v>
      </c>
    </row>
    <row r="445" ht="12.75" customHeight="1">
      <c r="A445" s="49">
        <f t="shared" si="5"/>
        <v>441</v>
      </c>
      <c r="B445" s="28">
        <f>DCA_Forecast_Model!G446</f>
        <v>23.58774588</v>
      </c>
      <c r="C445" s="28">
        <f>DCA_Forecast_Model!H446</f>
        <v>0.3036136682</v>
      </c>
      <c r="D445" s="29">
        <f>B445*'Economic Inputs Parameters'!$B$2</f>
        <v>70.76323764</v>
      </c>
      <c r="E445" s="29">
        <f>C445*'Economic Inputs Parameters'!$B$3</f>
        <v>21.25295677</v>
      </c>
      <c r="F445" s="29">
        <f t="shared" si="1"/>
        <v>92.01619441</v>
      </c>
      <c r="G445" s="28">
        <f>'Economic Inputs Parameters'!$B$4</f>
        <v>3000</v>
      </c>
      <c r="H445" s="28">
        <f t="shared" si="2"/>
        <v>-2907.983806</v>
      </c>
      <c r="I445" s="29">
        <v>0.0</v>
      </c>
      <c r="J445" s="28">
        <f t="shared" si="3"/>
        <v>-2907.983806</v>
      </c>
      <c r="K445" s="28">
        <f>1/(1+'Economic Inputs Parameters'!$B$5)^(A445)</f>
        <v>0.02611636139</v>
      </c>
      <c r="L445" s="28">
        <f t="shared" si="4"/>
        <v>-75.94595598</v>
      </c>
      <c r="M445" s="60">
        <f t="shared" si="6"/>
        <v>-5344966.034</v>
      </c>
    </row>
    <row r="446" ht="12.75" customHeight="1">
      <c r="A446" s="49">
        <f t="shared" si="5"/>
        <v>442</v>
      </c>
      <c r="B446" s="28">
        <f>DCA_Forecast_Model!G447</f>
        <v>23.16696484</v>
      </c>
      <c r="C446" s="28">
        <f>DCA_Forecast_Model!H447</f>
        <v>0.2981975138</v>
      </c>
      <c r="D446" s="29">
        <f>B446*'Economic Inputs Parameters'!$B$2</f>
        <v>69.50089453</v>
      </c>
      <c r="E446" s="29">
        <f>C446*'Economic Inputs Parameters'!$B$3</f>
        <v>20.87382596</v>
      </c>
      <c r="F446" s="29">
        <f t="shared" si="1"/>
        <v>90.3747205</v>
      </c>
      <c r="G446" s="28">
        <f>'Economic Inputs Parameters'!$B$4</f>
        <v>3000</v>
      </c>
      <c r="H446" s="28">
        <f t="shared" si="2"/>
        <v>-2909.62528</v>
      </c>
      <c r="I446" s="29">
        <v>0.0</v>
      </c>
      <c r="J446" s="28">
        <f t="shared" si="3"/>
        <v>-2909.62528</v>
      </c>
      <c r="K446" s="28">
        <f>1/(1+'Economic Inputs Parameters'!$B$5)^(A446)</f>
        <v>0.02590137994</v>
      </c>
      <c r="L446" s="28">
        <f t="shared" si="4"/>
        <v>-75.36330983</v>
      </c>
      <c r="M446" s="60">
        <f t="shared" si="6"/>
        <v>-5345041.397</v>
      </c>
    </row>
    <row r="447" ht="12.75" customHeight="1">
      <c r="A447" s="49">
        <f t="shared" si="5"/>
        <v>443</v>
      </c>
      <c r="B447" s="28">
        <f>DCA_Forecast_Model!G448</f>
        <v>22.75369011</v>
      </c>
      <c r="C447" s="28">
        <f>DCA_Forecast_Model!H448</f>
        <v>0.292877978</v>
      </c>
      <c r="D447" s="29">
        <f>B447*'Economic Inputs Parameters'!$B$2</f>
        <v>68.26107032</v>
      </c>
      <c r="E447" s="29">
        <f>C447*'Economic Inputs Parameters'!$B$3</f>
        <v>20.50145846</v>
      </c>
      <c r="F447" s="29">
        <f t="shared" si="1"/>
        <v>88.76252878</v>
      </c>
      <c r="G447" s="28">
        <f>'Economic Inputs Parameters'!$B$4</f>
        <v>3000</v>
      </c>
      <c r="H447" s="28">
        <f t="shared" si="2"/>
        <v>-2911.237471</v>
      </c>
      <c r="I447" s="29">
        <v>0.0</v>
      </c>
      <c r="J447" s="28">
        <f t="shared" si="3"/>
        <v>-2911.237471</v>
      </c>
      <c r="K447" s="28">
        <f>1/(1+'Economic Inputs Parameters'!$B$5)^(A447)</f>
        <v>0.02568816814</v>
      </c>
      <c r="L447" s="28">
        <f t="shared" si="4"/>
        <v>-74.78435766</v>
      </c>
      <c r="M447" s="60">
        <f t="shared" si="6"/>
        <v>-5345116.181</v>
      </c>
    </row>
    <row r="448" ht="12.75" customHeight="1">
      <c r="A448" s="54">
        <f t="shared" si="5"/>
        <v>444</v>
      </c>
      <c r="B448" s="32">
        <f>DCA_Forecast_Model!G449</f>
        <v>22.34778777</v>
      </c>
      <c r="C448" s="32">
        <f>DCA_Forecast_Model!H449</f>
        <v>0.2876533372</v>
      </c>
      <c r="D448" s="33">
        <f>B448*'Economic Inputs Parameters'!$B$2</f>
        <v>67.0433633</v>
      </c>
      <c r="E448" s="33">
        <f>C448*'Economic Inputs Parameters'!$B$3</f>
        <v>20.1357336</v>
      </c>
      <c r="F448" s="33">
        <f t="shared" si="1"/>
        <v>87.1790969</v>
      </c>
      <c r="G448" s="32">
        <f>'Economic Inputs Parameters'!$B$4</f>
        <v>3000</v>
      </c>
      <c r="H448" s="32">
        <f t="shared" si="2"/>
        <v>-2912.820903</v>
      </c>
      <c r="I448" s="33">
        <v>0.0</v>
      </c>
      <c r="J448" s="32">
        <f t="shared" si="3"/>
        <v>-2912.820903</v>
      </c>
      <c r="K448" s="32">
        <f>1/(1+'Economic Inputs Parameters'!$B$5)^(A448)</f>
        <v>0.02547671144</v>
      </c>
      <c r="L448" s="32">
        <f t="shared" si="4"/>
        <v>-74.20909761</v>
      </c>
      <c r="M448" s="61">
        <f t="shared" si="6"/>
        <v>-5345190.391</v>
      </c>
    </row>
    <row r="449" ht="12.75" customHeight="1">
      <c r="J449" s="11"/>
      <c r="K449" s="11"/>
      <c r="L449" s="11"/>
    </row>
    <row r="450" ht="12.75" customHeight="1">
      <c r="J450" s="11"/>
      <c r="K450" s="11"/>
      <c r="L450" s="11"/>
    </row>
    <row r="451" ht="12.75" customHeight="1">
      <c r="J451" s="11"/>
      <c r="K451" s="11"/>
      <c r="L451" s="11"/>
    </row>
    <row r="452" ht="12.75" customHeight="1">
      <c r="J452" s="11"/>
      <c r="K452" s="11"/>
      <c r="L452" s="11"/>
    </row>
    <row r="453" ht="12.75" customHeight="1">
      <c r="J453" s="11"/>
      <c r="K453" s="11"/>
      <c r="L453" s="11"/>
    </row>
    <row r="454" ht="12.75" customHeight="1">
      <c r="J454" s="11"/>
      <c r="K454" s="11"/>
      <c r="L454" s="11"/>
    </row>
    <row r="455" ht="12.75" customHeight="1">
      <c r="J455" s="11"/>
      <c r="K455" s="11"/>
      <c r="L455" s="11"/>
    </row>
    <row r="456" ht="12.75" customHeight="1">
      <c r="J456" s="11"/>
      <c r="K456" s="11"/>
      <c r="L456" s="11"/>
    </row>
    <row r="457" ht="12.75" customHeight="1">
      <c r="J457" s="11"/>
      <c r="K457" s="11"/>
      <c r="L457" s="11"/>
    </row>
    <row r="458" ht="12.75" customHeight="1">
      <c r="J458" s="11"/>
      <c r="K458" s="11"/>
      <c r="L458" s="11"/>
    </row>
    <row r="459" ht="12.75" customHeight="1">
      <c r="J459" s="11"/>
      <c r="K459" s="11"/>
      <c r="L459" s="11"/>
    </row>
    <row r="460" ht="12.75" customHeight="1">
      <c r="J460" s="11"/>
      <c r="K460" s="11"/>
      <c r="L460" s="11"/>
    </row>
    <row r="461" ht="12.75" customHeight="1">
      <c r="J461" s="11"/>
      <c r="K461" s="11"/>
      <c r="L461" s="11"/>
    </row>
    <row r="462" ht="12.75" customHeight="1">
      <c r="J462" s="11"/>
      <c r="K462" s="11"/>
      <c r="L462" s="11"/>
    </row>
    <row r="463" ht="12.75" customHeight="1">
      <c r="J463" s="11"/>
      <c r="K463" s="11"/>
      <c r="L463" s="11"/>
    </row>
    <row r="464" ht="12.75" customHeight="1">
      <c r="J464" s="11"/>
      <c r="K464" s="11"/>
      <c r="L464" s="11"/>
    </row>
    <row r="465" ht="12.75" customHeight="1">
      <c r="J465" s="11"/>
      <c r="K465" s="11"/>
      <c r="L465" s="11"/>
    </row>
    <row r="466" ht="12.75" customHeight="1">
      <c r="J466" s="11"/>
      <c r="K466" s="11"/>
      <c r="L466" s="11"/>
    </row>
    <row r="467" ht="12.75" customHeight="1">
      <c r="J467" s="11"/>
      <c r="K467" s="11"/>
      <c r="L467" s="11"/>
    </row>
    <row r="468" ht="12.75" customHeight="1">
      <c r="J468" s="11"/>
      <c r="K468" s="11"/>
      <c r="L468" s="11"/>
    </row>
    <row r="469" ht="12.75" customHeight="1">
      <c r="J469" s="11"/>
      <c r="K469" s="11"/>
      <c r="L469" s="11"/>
    </row>
    <row r="470" ht="12.75" customHeight="1">
      <c r="J470" s="11"/>
      <c r="K470" s="11"/>
      <c r="L470" s="11"/>
    </row>
    <row r="471" ht="12.75" customHeight="1">
      <c r="J471" s="11"/>
      <c r="K471" s="11"/>
      <c r="L471" s="11"/>
    </row>
    <row r="472" ht="12.75" customHeight="1">
      <c r="J472" s="11"/>
      <c r="K472" s="11"/>
      <c r="L472" s="11"/>
    </row>
    <row r="473" ht="12.75" customHeight="1">
      <c r="J473" s="11"/>
      <c r="K473" s="11"/>
      <c r="L473" s="11"/>
    </row>
    <row r="474" ht="12.75" customHeight="1">
      <c r="J474" s="11"/>
      <c r="K474" s="11"/>
      <c r="L474" s="11"/>
    </row>
    <row r="475" ht="12.75" customHeight="1">
      <c r="J475" s="11"/>
      <c r="K475" s="11"/>
      <c r="L475" s="11"/>
    </row>
    <row r="476" ht="12.75" customHeight="1">
      <c r="J476" s="11"/>
      <c r="K476" s="11"/>
      <c r="L476" s="11"/>
    </row>
    <row r="477" ht="12.75" customHeight="1">
      <c r="J477" s="11"/>
      <c r="K477" s="11"/>
      <c r="L477" s="11"/>
    </row>
    <row r="478" ht="12.75" customHeight="1">
      <c r="J478" s="11"/>
      <c r="K478" s="11"/>
      <c r="L478" s="11"/>
    </row>
    <row r="479" ht="12.75" customHeight="1">
      <c r="J479" s="11"/>
      <c r="K479" s="11"/>
      <c r="L479" s="11"/>
    </row>
    <row r="480" ht="12.75" customHeight="1">
      <c r="J480" s="11"/>
      <c r="K480" s="11"/>
      <c r="L480" s="11"/>
    </row>
    <row r="481" ht="12.75" customHeight="1">
      <c r="J481" s="11"/>
      <c r="K481" s="11"/>
      <c r="L481" s="11"/>
    </row>
    <row r="482" ht="12.75" customHeight="1">
      <c r="J482" s="11"/>
      <c r="K482" s="11"/>
      <c r="L482" s="11"/>
    </row>
    <row r="483" ht="12.75" customHeight="1">
      <c r="J483" s="11"/>
      <c r="K483" s="11"/>
      <c r="L483" s="11"/>
    </row>
    <row r="484" ht="12.75" customHeight="1">
      <c r="J484" s="11"/>
      <c r="K484" s="11"/>
      <c r="L484" s="11"/>
    </row>
    <row r="485" ht="12.75" customHeight="1">
      <c r="J485" s="11"/>
      <c r="K485" s="11"/>
      <c r="L485" s="11"/>
    </row>
    <row r="486" ht="12.75" customHeight="1">
      <c r="J486" s="11"/>
      <c r="K486" s="11"/>
      <c r="L486" s="11"/>
    </row>
    <row r="487" ht="12.75" customHeight="1">
      <c r="J487" s="11"/>
      <c r="K487" s="11"/>
      <c r="L487" s="11"/>
    </row>
    <row r="488" ht="12.75" customHeight="1">
      <c r="J488" s="11"/>
      <c r="K488" s="11"/>
      <c r="L488" s="11"/>
    </row>
    <row r="489" ht="12.75" customHeight="1">
      <c r="J489" s="11"/>
      <c r="K489" s="11"/>
      <c r="L489" s="11"/>
    </row>
    <row r="490" ht="12.75" customHeight="1">
      <c r="J490" s="11"/>
      <c r="K490" s="11"/>
      <c r="L490" s="11"/>
    </row>
    <row r="491" ht="12.75" customHeight="1">
      <c r="J491" s="11"/>
      <c r="K491" s="11"/>
      <c r="L491" s="11"/>
    </row>
    <row r="492" ht="12.75" customHeight="1">
      <c r="J492" s="11"/>
      <c r="K492" s="11"/>
      <c r="L492" s="11"/>
    </row>
    <row r="493" ht="12.75" customHeight="1">
      <c r="J493" s="11"/>
      <c r="K493" s="11"/>
      <c r="L493" s="11"/>
    </row>
    <row r="494" ht="12.75" customHeight="1">
      <c r="J494" s="11"/>
      <c r="K494" s="11"/>
      <c r="L494" s="11"/>
    </row>
    <row r="495" ht="12.75" customHeight="1">
      <c r="J495" s="11"/>
      <c r="K495" s="11"/>
      <c r="L495" s="11"/>
    </row>
    <row r="496" ht="12.75" customHeight="1">
      <c r="J496" s="11"/>
      <c r="K496" s="11"/>
      <c r="L496" s="11"/>
    </row>
    <row r="497" ht="12.75" customHeight="1">
      <c r="J497" s="11"/>
      <c r="K497" s="11"/>
      <c r="L497" s="11"/>
    </row>
    <row r="498" ht="12.75" customHeight="1">
      <c r="J498" s="11"/>
      <c r="K498" s="11"/>
      <c r="L498" s="11"/>
    </row>
    <row r="499" ht="12.75" customHeight="1">
      <c r="J499" s="11"/>
      <c r="K499" s="11"/>
      <c r="L499" s="11"/>
    </row>
    <row r="500" ht="12.75" customHeight="1">
      <c r="J500" s="11"/>
      <c r="K500" s="11"/>
      <c r="L500" s="11"/>
    </row>
    <row r="501" ht="12.75" customHeight="1">
      <c r="J501" s="11"/>
      <c r="K501" s="11"/>
      <c r="L501" s="11"/>
    </row>
    <row r="502" ht="12.75" customHeight="1">
      <c r="J502" s="11"/>
      <c r="K502" s="11"/>
      <c r="L502" s="11"/>
    </row>
    <row r="503" ht="12.75" customHeight="1">
      <c r="J503" s="11"/>
      <c r="K503" s="11"/>
      <c r="L503" s="11"/>
    </row>
    <row r="504" ht="12.75" customHeight="1">
      <c r="J504" s="11"/>
      <c r="K504" s="11"/>
      <c r="L504" s="11"/>
    </row>
    <row r="505" ht="12.75" customHeight="1">
      <c r="J505" s="11"/>
      <c r="K505" s="11"/>
      <c r="L505" s="11"/>
    </row>
    <row r="506" ht="12.75" customHeight="1">
      <c r="J506" s="11"/>
      <c r="K506" s="11"/>
      <c r="L506" s="11"/>
    </row>
    <row r="507" ht="12.75" customHeight="1">
      <c r="J507" s="11"/>
      <c r="K507" s="11"/>
      <c r="L507" s="11"/>
    </row>
    <row r="508" ht="12.75" customHeight="1">
      <c r="J508" s="11"/>
      <c r="K508" s="11"/>
      <c r="L508" s="11"/>
    </row>
    <row r="509" ht="12.75" customHeight="1">
      <c r="J509" s="11"/>
      <c r="K509" s="11"/>
      <c r="L509" s="11"/>
    </row>
    <row r="510" ht="12.75" customHeight="1">
      <c r="J510" s="11"/>
      <c r="K510" s="11"/>
      <c r="L510" s="11"/>
    </row>
    <row r="511" ht="12.75" customHeight="1">
      <c r="J511" s="11"/>
      <c r="K511" s="11"/>
      <c r="L511" s="11"/>
    </row>
    <row r="512" ht="12.75" customHeight="1">
      <c r="J512" s="11"/>
      <c r="K512" s="11"/>
      <c r="L512" s="11"/>
    </row>
    <row r="513" ht="12.75" customHeight="1">
      <c r="J513" s="11"/>
      <c r="K513" s="11"/>
      <c r="L513" s="11"/>
    </row>
    <row r="514" ht="12.75" customHeight="1">
      <c r="J514" s="11"/>
      <c r="K514" s="11"/>
      <c r="L514" s="11"/>
    </row>
    <row r="515" ht="12.75" customHeight="1">
      <c r="J515" s="11"/>
      <c r="K515" s="11"/>
      <c r="L515" s="11"/>
    </row>
    <row r="516" ht="12.75" customHeight="1">
      <c r="J516" s="11"/>
      <c r="K516" s="11"/>
      <c r="L516" s="11"/>
    </row>
    <row r="517" ht="12.75" customHeight="1">
      <c r="J517" s="11"/>
      <c r="K517" s="11"/>
      <c r="L517" s="11"/>
    </row>
    <row r="518" ht="12.75" customHeight="1">
      <c r="J518" s="11"/>
      <c r="K518" s="11"/>
      <c r="L518" s="11"/>
    </row>
    <row r="519" ht="12.75" customHeight="1">
      <c r="J519" s="11"/>
      <c r="K519" s="11"/>
      <c r="L519" s="11"/>
    </row>
    <row r="520" ht="12.75" customHeight="1">
      <c r="J520" s="11"/>
      <c r="K520" s="11"/>
      <c r="L520" s="11"/>
    </row>
    <row r="521" ht="12.75" customHeight="1">
      <c r="J521" s="11"/>
      <c r="K521" s="11"/>
      <c r="L521" s="11"/>
    </row>
    <row r="522" ht="12.75" customHeight="1">
      <c r="J522" s="11"/>
      <c r="K522" s="11"/>
      <c r="L522" s="11"/>
    </row>
    <row r="523" ht="12.75" customHeight="1">
      <c r="J523" s="11"/>
      <c r="K523" s="11"/>
      <c r="L523" s="11"/>
    </row>
    <row r="524" ht="12.75" customHeight="1">
      <c r="J524" s="11"/>
      <c r="K524" s="11"/>
      <c r="L524" s="11"/>
    </row>
    <row r="525" ht="12.75" customHeight="1">
      <c r="J525" s="11"/>
      <c r="K525" s="11"/>
      <c r="L525" s="11"/>
    </row>
    <row r="526" ht="12.75" customHeight="1">
      <c r="J526" s="11"/>
      <c r="K526" s="11"/>
      <c r="L526" s="11"/>
    </row>
    <row r="527" ht="12.75" customHeight="1">
      <c r="J527" s="11"/>
      <c r="K527" s="11"/>
      <c r="L527" s="11"/>
    </row>
    <row r="528" ht="12.75" customHeight="1">
      <c r="J528" s="11"/>
      <c r="K528" s="11"/>
      <c r="L528" s="11"/>
    </row>
    <row r="529" ht="12.75" customHeight="1">
      <c r="J529" s="11"/>
      <c r="K529" s="11"/>
      <c r="L529" s="11"/>
    </row>
    <row r="530" ht="12.75" customHeight="1">
      <c r="J530" s="11"/>
      <c r="K530" s="11"/>
      <c r="L530" s="11"/>
    </row>
    <row r="531" ht="12.75" customHeight="1">
      <c r="J531" s="11"/>
      <c r="K531" s="11"/>
      <c r="L531" s="11"/>
    </row>
    <row r="532" ht="12.75" customHeight="1">
      <c r="J532" s="11"/>
      <c r="K532" s="11"/>
      <c r="L532" s="11"/>
    </row>
    <row r="533" ht="12.75" customHeight="1">
      <c r="J533" s="11"/>
      <c r="K533" s="11"/>
      <c r="L533" s="11"/>
    </row>
    <row r="534" ht="12.75" customHeight="1">
      <c r="J534" s="11"/>
      <c r="K534" s="11"/>
      <c r="L534" s="11"/>
    </row>
    <row r="535" ht="12.75" customHeight="1">
      <c r="J535" s="11"/>
      <c r="K535" s="11"/>
      <c r="L535" s="11"/>
    </row>
    <row r="536" ht="12.75" customHeight="1">
      <c r="J536" s="11"/>
      <c r="K536" s="11"/>
      <c r="L536" s="11"/>
    </row>
    <row r="537" ht="12.75" customHeight="1">
      <c r="J537" s="11"/>
      <c r="K537" s="11"/>
      <c r="L537" s="11"/>
    </row>
    <row r="538" ht="12.75" customHeight="1">
      <c r="J538" s="11"/>
      <c r="K538" s="11"/>
      <c r="L538" s="11"/>
    </row>
    <row r="539" ht="12.75" customHeight="1">
      <c r="J539" s="11"/>
      <c r="K539" s="11"/>
      <c r="L539" s="11"/>
    </row>
    <row r="540" ht="12.75" customHeight="1">
      <c r="J540" s="11"/>
      <c r="K540" s="11"/>
      <c r="L540" s="11"/>
    </row>
    <row r="541" ht="12.75" customHeight="1">
      <c r="J541" s="11"/>
      <c r="K541" s="11"/>
      <c r="L541" s="11"/>
    </row>
    <row r="542" ht="12.75" customHeight="1">
      <c r="J542" s="11"/>
      <c r="K542" s="11"/>
      <c r="L542" s="11"/>
    </row>
    <row r="543" ht="12.75" customHeight="1">
      <c r="J543" s="11"/>
      <c r="K543" s="11"/>
      <c r="L543" s="11"/>
    </row>
    <row r="544" ht="12.75" customHeight="1">
      <c r="J544" s="11"/>
      <c r="K544" s="11"/>
      <c r="L544" s="11"/>
    </row>
    <row r="545" ht="12.75" customHeight="1">
      <c r="J545" s="11"/>
      <c r="K545" s="11"/>
      <c r="L545" s="11"/>
    </row>
    <row r="546" ht="12.75" customHeight="1">
      <c r="J546" s="11"/>
      <c r="K546" s="11"/>
      <c r="L546" s="11"/>
    </row>
    <row r="547" ht="12.75" customHeight="1">
      <c r="J547" s="11"/>
      <c r="K547" s="11"/>
      <c r="L547" s="11"/>
    </row>
    <row r="548" ht="12.75" customHeight="1">
      <c r="J548" s="11"/>
      <c r="K548" s="11"/>
      <c r="L548" s="11"/>
    </row>
    <row r="549" ht="12.75" customHeight="1">
      <c r="J549" s="11"/>
      <c r="K549" s="11"/>
      <c r="L549" s="11"/>
    </row>
    <row r="550" ht="12.75" customHeight="1">
      <c r="J550" s="11"/>
      <c r="K550" s="11"/>
      <c r="L550" s="11"/>
    </row>
    <row r="551" ht="12.75" customHeight="1">
      <c r="J551" s="11"/>
      <c r="K551" s="11"/>
      <c r="L551" s="11"/>
    </row>
    <row r="552" ht="12.75" customHeight="1">
      <c r="J552" s="11"/>
      <c r="K552" s="11"/>
      <c r="L552" s="11"/>
    </row>
    <row r="553" ht="12.75" customHeight="1">
      <c r="J553" s="11"/>
      <c r="K553" s="11"/>
      <c r="L553" s="11"/>
    </row>
    <row r="554" ht="12.75" customHeight="1">
      <c r="J554" s="11"/>
      <c r="K554" s="11"/>
      <c r="L554" s="11"/>
    </row>
    <row r="555" ht="12.75" customHeight="1">
      <c r="J555" s="11"/>
      <c r="K555" s="11"/>
      <c r="L555" s="11"/>
    </row>
    <row r="556" ht="12.75" customHeight="1">
      <c r="J556" s="11"/>
      <c r="K556" s="11"/>
      <c r="L556" s="11"/>
    </row>
    <row r="557" ht="12.75" customHeight="1">
      <c r="J557" s="11"/>
      <c r="K557" s="11"/>
      <c r="L557" s="11"/>
    </row>
    <row r="558" ht="12.75" customHeight="1">
      <c r="J558" s="11"/>
      <c r="K558" s="11"/>
      <c r="L558" s="11"/>
    </row>
    <row r="559" ht="12.75" customHeight="1">
      <c r="J559" s="11"/>
      <c r="K559" s="11"/>
      <c r="L559" s="11"/>
    </row>
    <row r="560" ht="12.75" customHeight="1">
      <c r="J560" s="11"/>
      <c r="K560" s="11"/>
      <c r="L560" s="11"/>
    </row>
    <row r="561" ht="12.75" customHeight="1">
      <c r="J561" s="11"/>
      <c r="K561" s="11"/>
      <c r="L561" s="11"/>
    </row>
    <row r="562" ht="12.75" customHeight="1">
      <c r="J562" s="11"/>
      <c r="K562" s="11"/>
      <c r="L562" s="11"/>
    </row>
    <row r="563" ht="12.75" customHeight="1">
      <c r="J563" s="11"/>
      <c r="K563" s="11"/>
      <c r="L563" s="11"/>
    </row>
    <row r="564" ht="12.75" customHeight="1">
      <c r="J564" s="11"/>
      <c r="K564" s="11"/>
      <c r="L564" s="11"/>
    </row>
    <row r="565" ht="12.75" customHeight="1">
      <c r="J565" s="11"/>
      <c r="K565" s="11"/>
      <c r="L565" s="11"/>
    </row>
    <row r="566" ht="12.75" customHeight="1">
      <c r="J566" s="11"/>
      <c r="K566" s="11"/>
      <c r="L566" s="11"/>
    </row>
    <row r="567" ht="12.75" customHeight="1">
      <c r="J567" s="11"/>
      <c r="K567" s="11"/>
      <c r="L567" s="11"/>
    </row>
    <row r="568" ht="12.75" customHeight="1">
      <c r="J568" s="11"/>
      <c r="K568" s="11"/>
      <c r="L568" s="11"/>
    </row>
    <row r="569" ht="12.75" customHeight="1">
      <c r="J569" s="11"/>
      <c r="K569" s="11"/>
      <c r="L569" s="11"/>
    </row>
    <row r="570" ht="12.75" customHeight="1">
      <c r="J570" s="11"/>
      <c r="K570" s="11"/>
      <c r="L570" s="11"/>
    </row>
    <row r="571" ht="12.75" customHeight="1">
      <c r="J571" s="11"/>
      <c r="K571" s="11"/>
      <c r="L571" s="11"/>
    </row>
    <row r="572" ht="12.75" customHeight="1">
      <c r="J572" s="11"/>
      <c r="K572" s="11"/>
      <c r="L572" s="11"/>
    </row>
    <row r="573" ht="12.75" customHeight="1">
      <c r="J573" s="11"/>
      <c r="K573" s="11"/>
      <c r="L573" s="11"/>
    </row>
    <row r="574" ht="12.75" customHeight="1">
      <c r="J574" s="11"/>
      <c r="K574" s="11"/>
      <c r="L574" s="11"/>
    </row>
    <row r="575" ht="12.75" customHeight="1">
      <c r="J575" s="11"/>
      <c r="K575" s="11"/>
      <c r="L575" s="11"/>
    </row>
    <row r="576" ht="12.75" customHeight="1">
      <c r="J576" s="11"/>
      <c r="K576" s="11"/>
      <c r="L576" s="11"/>
    </row>
    <row r="577" ht="12.75" customHeight="1">
      <c r="J577" s="11"/>
      <c r="K577" s="11"/>
      <c r="L577" s="11"/>
    </row>
    <row r="578" ht="12.75" customHeight="1">
      <c r="J578" s="11"/>
      <c r="K578" s="11"/>
      <c r="L578" s="11"/>
    </row>
    <row r="579" ht="12.75" customHeight="1">
      <c r="J579" s="11"/>
      <c r="K579" s="11"/>
      <c r="L579" s="11"/>
    </row>
    <row r="580" ht="12.75" customHeight="1">
      <c r="J580" s="11"/>
      <c r="K580" s="11"/>
      <c r="L580" s="11"/>
    </row>
    <row r="581" ht="12.75" customHeight="1">
      <c r="J581" s="11"/>
      <c r="K581" s="11"/>
      <c r="L581" s="11"/>
    </row>
    <row r="582" ht="12.75" customHeight="1">
      <c r="J582" s="11"/>
      <c r="K582" s="11"/>
      <c r="L582" s="11"/>
    </row>
    <row r="583" ht="12.75" customHeight="1">
      <c r="J583" s="11"/>
      <c r="K583" s="11"/>
      <c r="L583" s="11"/>
    </row>
    <row r="584" ht="12.75" customHeight="1">
      <c r="J584" s="11"/>
      <c r="K584" s="11"/>
      <c r="L584" s="11"/>
    </row>
    <row r="585" ht="12.75" customHeight="1">
      <c r="J585" s="11"/>
      <c r="K585" s="11"/>
      <c r="L585" s="11"/>
    </row>
    <row r="586" ht="12.75" customHeight="1">
      <c r="J586" s="11"/>
      <c r="K586" s="11"/>
      <c r="L586" s="11"/>
    </row>
    <row r="587" ht="12.75" customHeight="1">
      <c r="J587" s="11"/>
      <c r="K587" s="11"/>
      <c r="L587" s="11"/>
    </row>
    <row r="588" ht="12.75" customHeight="1">
      <c r="J588" s="11"/>
      <c r="K588" s="11"/>
      <c r="L588" s="11"/>
    </row>
    <row r="589" ht="12.75" customHeight="1">
      <c r="J589" s="11"/>
      <c r="K589" s="11"/>
      <c r="L589" s="11"/>
    </row>
    <row r="590" ht="12.75" customHeight="1">
      <c r="J590" s="11"/>
      <c r="K590" s="11"/>
      <c r="L590" s="11"/>
    </row>
    <row r="591" ht="12.75" customHeight="1">
      <c r="J591" s="11"/>
      <c r="K591" s="11"/>
      <c r="L591" s="11"/>
    </row>
    <row r="592" ht="12.75" customHeight="1">
      <c r="J592" s="11"/>
      <c r="K592" s="11"/>
      <c r="L592" s="11"/>
    </row>
    <row r="593" ht="12.75" customHeight="1">
      <c r="J593" s="11"/>
      <c r="K593" s="11"/>
      <c r="L593" s="11"/>
    </row>
    <row r="594" ht="12.75" customHeight="1">
      <c r="J594" s="11"/>
      <c r="K594" s="11"/>
      <c r="L594" s="11"/>
    </row>
    <row r="595" ht="12.75" customHeight="1">
      <c r="J595" s="11"/>
      <c r="K595" s="11"/>
      <c r="L595" s="11"/>
    </row>
    <row r="596" ht="12.75" customHeight="1">
      <c r="J596" s="11"/>
      <c r="K596" s="11"/>
      <c r="L596" s="11"/>
    </row>
    <row r="597" ht="12.75" customHeight="1">
      <c r="J597" s="11"/>
      <c r="K597" s="11"/>
      <c r="L597" s="11"/>
    </row>
    <row r="598" ht="12.75" customHeight="1">
      <c r="J598" s="11"/>
      <c r="K598" s="11"/>
      <c r="L598" s="11"/>
    </row>
    <row r="599" ht="12.75" customHeight="1">
      <c r="J599" s="11"/>
      <c r="K599" s="11"/>
      <c r="L599" s="11"/>
    </row>
    <row r="600" ht="12.75" customHeight="1">
      <c r="J600" s="11"/>
      <c r="K600" s="11"/>
      <c r="L600" s="11"/>
    </row>
    <row r="601" ht="12.75" customHeight="1">
      <c r="J601" s="11"/>
      <c r="K601" s="11"/>
      <c r="L601" s="11"/>
    </row>
    <row r="602" ht="12.75" customHeight="1">
      <c r="J602" s="11"/>
      <c r="K602" s="11"/>
      <c r="L602" s="11"/>
    </row>
    <row r="603" ht="12.75" customHeight="1">
      <c r="J603" s="11"/>
      <c r="K603" s="11"/>
      <c r="L603" s="11"/>
    </row>
    <row r="604" ht="12.75" customHeight="1">
      <c r="J604" s="11"/>
      <c r="K604" s="11"/>
      <c r="L604" s="11"/>
    </row>
    <row r="605" ht="12.75" customHeight="1">
      <c r="J605" s="11"/>
      <c r="K605" s="11"/>
      <c r="L605" s="11"/>
    </row>
    <row r="606" ht="12.75" customHeight="1">
      <c r="J606" s="11"/>
      <c r="K606" s="11"/>
      <c r="L606" s="11"/>
    </row>
    <row r="607" ht="12.75" customHeight="1">
      <c r="J607" s="11"/>
      <c r="K607" s="11"/>
      <c r="L607" s="11"/>
    </row>
    <row r="608" ht="12.75" customHeight="1">
      <c r="J608" s="11"/>
      <c r="K608" s="11"/>
      <c r="L608" s="11"/>
    </row>
    <row r="609" ht="12.75" customHeight="1">
      <c r="J609" s="11"/>
      <c r="K609" s="11"/>
      <c r="L609" s="11"/>
    </row>
    <row r="610" ht="12.75" customHeight="1">
      <c r="J610" s="11"/>
      <c r="K610" s="11"/>
      <c r="L610" s="11"/>
    </row>
    <row r="611" ht="12.75" customHeight="1">
      <c r="J611" s="11"/>
      <c r="K611" s="11"/>
      <c r="L611" s="11"/>
    </row>
    <row r="612" ht="12.75" customHeight="1">
      <c r="J612" s="11"/>
      <c r="K612" s="11"/>
      <c r="L612" s="11"/>
    </row>
    <row r="613" ht="12.75" customHeight="1">
      <c r="J613" s="11"/>
      <c r="K613" s="11"/>
      <c r="L613" s="11"/>
    </row>
    <row r="614" ht="12.75" customHeight="1">
      <c r="J614" s="11"/>
      <c r="K614" s="11"/>
      <c r="L614" s="11"/>
    </row>
    <row r="615" ht="12.75" customHeight="1">
      <c r="J615" s="11"/>
      <c r="K615" s="11"/>
      <c r="L615" s="11"/>
    </row>
    <row r="616" ht="12.75" customHeight="1">
      <c r="J616" s="11"/>
      <c r="K616" s="11"/>
      <c r="L616" s="11"/>
    </row>
    <row r="617" ht="12.75" customHeight="1">
      <c r="J617" s="11"/>
      <c r="K617" s="11"/>
      <c r="L617" s="11"/>
    </row>
    <row r="618" ht="12.75" customHeight="1">
      <c r="J618" s="11"/>
      <c r="K618" s="11"/>
      <c r="L618" s="11"/>
    </row>
    <row r="619" ht="12.75" customHeight="1">
      <c r="J619" s="11"/>
      <c r="K619" s="11"/>
      <c r="L619" s="11"/>
    </row>
    <row r="620" ht="12.75" customHeight="1">
      <c r="J620" s="11"/>
      <c r="K620" s="11"/>
      <c r="L620" s="11"/>
    </row>
    <row r="621" ht="12.75" customHeight="1">
      <c r="J621" s="11"/>
      <c r="K621" s="11"/>
      <c r="L621" s="11"/>
    </row>
    <row r="622" ht="12.75" customHeight="1">
      <c r="J622" s="11"/>
      <c r="K622" s="11"/>
      <c r="L622" s="11"/>
    </row>
    <row r="623" ht="12.75" customHeight="1">
      <c r="J623" s="11"/>
      <c r="K623" s="11"/>
      <c r="L623" s="11"/>
    </row>
    <row r="624" ht="12.75" customHeight="1">
      <c r="J624" s="11"/>
      <c r="K624" s="11"/>
      <c r="L624" s="11"/>
    </row>
    <row r="625" ht="12.75" customHeight="1">
      <c r="J625" s="11"/>
      <c r="K625" s="11"/>
      <c r="L625" s="11"/>
    </row>
    <row r="626" ht="12.75" customHeight="1">
      <c r="J626" s="11"/>
      <c r="K626" s="11"/>
      <c r="L626" s="11"/>
    </row>
    <row r="627" ht="12.75" customHeight="1">
      <c r="J627" s="11"/>
      <c r="K627" s="11"/>
      <c r="L627" s="11"/>
    </row>
    <row r="628" ht="12.75" customHeight="1">
      <c r="J628" s="11"/>
      <c r="K628" s="11"/>
      <c r="L628" s="11"/>
    </row>
    <row r="629" ht="12.75" customHeight="1">
      <c r="J629" s="11"/>
      <c r="K629" s="11"/>
      <c r="L629" s="11"/>
    </row>
    <row r="630" ht="12.75" customHeight="1">
      <c r="J630" s="11"/>
      <c r="K630" s="11"/>
      <c r="L630" s="11"/>
    </row>
    <row r="631" ht="12.75" customHeight="1">
      <c r="J631" s="11"/>
      <c r="K631" s="11"/>
      <c r="L631" s="11"/>
    </row>
    <row r="632" ht="12.75" customHeight="1">
      <c r="J632" s="11"/>
      <c r="K632" s="11"/>
      <c r="L632" s="11"/>
    </row>
    <row r="633" ht="12.75" customHeight="1">
      <c r="J633" s="11"/>
      <c r="K633" s="11"/>
      <c r="L633" s="11"/>
    </row>
    <row r="634" ht="12.75" customHeight="1">
      <c r="J634" s="11"/>
      <c r="K634" s="11"/>
      <c r="L634" s="11"/>
    </row>
    <row r="635" ht="12.75" customHeight="1">
      <c r="J635" s="11"/>
      <c r="K635" s="11"/>
      <c r="L635" s="11"/>
    </row>
    <row r="636" ht="12.75" customHeight="1">
      <c r="J636" s="11"/>
      <c r="K636" s="11"/>
      <c r="L636" s="11"/>
    </row>
    <row r="637" ht="12.75" customHeight="1">
      <c r="J637" s="11"/>
      <c r="K637" s="11"/>
      <c r="L637" s="11"/>
    </row>
    <row r="638" ht="12.75" customHeight="1">
      <c r="J638" s="11"/>
      <c r="K638" s="11"/>
      <c r="L638" s="11"/>
    </row>
    <row r="639" ht="12.75" customHeight="1">
      <c r="J639" s="11"/>
      <c r="K639" s="11"/>
      <c r="L639" s="11"/>
    </row>
    <row r="640" ht="12.75" customHeight="1">
      <c r="J640" s="11"/>
      <c r="K640" s="11"/>
      <c r="L640" s="11"/>
    </row>
    <row r="641" ht="12.75" customHeight="1">
      <c r="J641" s="11"/>
      <c r="K641" s="11"/>
      <c r="L641" s="11"/>
    </row>
    <row r="642" ht="12.75" customHeight="1">
      <c r="J642" s="11"/>
      <c r="K642" s="11"/>
      <c r="L642" s="11"/>
    </row>
    <row r="643" ht="12.75" customHeight="1">
      <c r="J643" s="11"/>
      <c r="K643" s="11"/>
      <c r="L643" s="11"/>
    </row>
    <row r="644" ht="12.75" customHeight="1">
      <c r="J644" s="11"/>
      <c r="K644" s="11"/>
      <c r="L644" s="11"/>
    </row>
    <row r="645" ht="12.75" customHeight="1">
      <c r="J645" s="11"/>
      <c r="K645" s="11"/>
      <c r="L645" s="11"/>
    </row>
    <row r="646" ht="12.75" customHeight="1">
      <c r="J646" s="11"/>
      <c r="K646" s="11"/>
      <c r="L646" s="11"/>
    </row>
    <row r="647" ht="12.75" customHeight="1">
      <c r="J647" s="11"/>
      <c r="K647" s="11"/>
      <c r="L647" s="11"/>
    </row>
    <row r="648" ht="12.75" customHeight="1">
      <c r="J648" s="11"/>
      <c r="K648" s="11"/>
      <c r="L648" s="11"/>
    </row>
    <row r="649" ht="12.75" customHeight="1">
      <c r="J649" s="11"/>
      <c r="K649" s="11"/>
      <c r="L649" s="11"/>
    </row>
    <row r="650" ht="12.75" customHeight="1">
      <c r="J650" s="11"/>
      <c r="K650" s="11"/>
      <c r="L650" s="11"/>
    </row>
    <row r="651" ht="12.75" customHeight="1">
      <c r="J651" s="11"/>
      <c r="K651" s="11"/>
      <c r="L651" s="11"/>
    </row>
    <row r="652" ht="12.75" customHeight="1">
      <c r="J652" s="11"/>
      <c r="K652" s="11"/>
      <c r="L652" s="11"/>
    </row>
    <row r="653" ht="12.75" customHeight="1">
      <c r="J653" s="11"/>
      <c r="K653" s="11"/>
      <c r="L653" s="11"/>
    </row>
    <row r="654" ht="12.75" customHeight="1">
      <c r="J654" s="11"/>
      <c r="K654" s="11"/>
      <c r="L654" s="11"/>
    </row>
    <row r="655" ht="12.75" customHeight="1">
      <c r="J655" s="11"/>
      <c r="K655" s="11"/>
      <c r="L655" s="11"/>
    </row>
    <row r="656" ht="12.75" customHeight="1">
      <c r="J656" s="11"/>
      <c r="K656" s="11"/>
      <c r="L656" s="11"/>
    </row>
    <row r="657" ht="12.75" customHeight="1">
      <c r="J657" s="11"/>
      <c r="K657" s="11"/>
      <c r="L657" s="11"/>
    </row>
    <row r="658" ht="12.75" customHeight="1">
      <c r="J658" s="11"/>
      <c r="K658" s="11"/>
      <c r="L658" s="11"/>
    </row>
    <row r="659" ht="12.75" customHeight="1">
      <c r="J659" s="11"/>
      <c r="K659" s="11"/>
      <c r="L659" s="11"/>
    </row>
    <row r="660" ht="12.75" customHeight="1">
      <c r="J660" s="11"/>
      <c r="K660" s="11"/>
      <c r="L660" s="11"/>
    </row>
    <row r="661" ht="12.75" customHeight="1">
      <c r="J661" s="11"/>
      <c r="K661" s="11"/>
      <c r="L661" s="11"/>
    </row>
    <row r="662" ht="12.75" customHeight="1">
      <c r="J662" s="11"/>
      <c r="K662" s="11"/>
      <c r="L662" s="11"/>
    </row>
    <row r="663" ht="12.75" customHeight="1">
      <c r="J663" s="11"/>
      <c r="K663" s="11"/>
      <c r="L663" s="11"/>
    </row>
    <row r="664" ht="12.75" customHeight="1">
      <c r="J664" s="11"/>
      <c r="K664" s="11"/>
      <c r="L664" s="11"/>
    </row>
    <row r="665" ht="12.75" customHeight="1">
      <c r="J665" s="11"/>
      <c r="K665" s="11"/>
      <c r="L665" s="11"/>
    </row>
    <row r="666" ht="12.75" customHeight="1">
      <c r="J666" s="11"/>
      <c r="K666" s="11"/>
      <c r="L666" s="11"/>
    </row>
    <row r="667" ht="12.75" customHeight="1">
      <c r="J667" s="11"/>
      <c r="K667" s="11"/>
      <c r="L667" s="11"/>
    </row>
    <row r="668" ht="12.75" customHeight="1">
      <c r="J668" s="11"/>
      <c r="K668" s="11"/>
      <c r="L668" s="11"/>
    </row>
    <row r="669" ht="12.75" customHeight="1">
      <c r="J669" s="11"/>
      <c r="K669" s="11"/>
      <c r="L669" s="11"/>
    </row>
    <row r="670" ht="12.75" customHeight="1">
      <c r="J670" s="11"/>
      <c r="K670" s="11"/>
      <c r="L670" s="11"/>
    </row>
    <row r="671" ht="12.75" customHeight="1">
      <c r="J671" s="11"/>
      <c r="K671" s="11"/>
      <c r="L671" s="11"/>
    </row>
    <row r="672" ht="12.75" customHeight="1">
      <c r="J672" s="11"/>
      <c r="K672" s="11"/>
      <c r="L672" s="11"/>
    </row>
    <row r="673" ht="12.75" customHeight="1">
      <c r="J673" s="11"/>
      <c r="K673" s="11"/>
      <c r="L673" s="11"/>
    </row>
    <row r="674" ht="12.75" customHeight="1">
      <c r="J674" s="11"/>
      <c r="K674" s="11"/>
      <c r="L674" s="11"/>
    </row>
    <row r="675" ht="12.75" customHeight="1">
      <c r="J675" s="11"/>
      <c r="K675" s="11"/>
      <c r="L675" s="11"/>
    </row>
    <row r="676" ht="12.75" customHeight="1">
      <c r="J676" s="11"/>
      <c r="K676" s="11"/>
      <c r="L676" s="11"/>
    </row>
    <row r="677" ht="12.75" customHeight="1">
      <c r="J677" s="11"/>
      <c r="K677" s="11"/>
      <c r="L677" s="11"/>
    </row>
    <row r="678" ht="12.75" customHeight="1">
      <c r="J678" s="11"/>
      <c r="K678" s="11"/>
      <c r="L678" s="11"/>
    </row>
    <row r="679" ht="12.75" customHeight="1">
      <c r="J679" s="11"/>
      <c r="K679" s="11"/>
      <c r="L679" s="11"/>
    </row>
    <row r="680" ht="12.75" customHeight="1">
      <c r="J680" s="11"/>
      <c r="K680" s="11"/>
      <c r="L680" s="11"/>
    </row>
    <row r="681" ht="12.75" customHeight="1">
      <c r="J681" s="11"/>
      <c r="K681" s="11"/>
      <c r="L681" s="11"/>
    </row>
    <row r="682" ht="12.75" customHeight="1">
      <c r="J682" s="11"/>
      <c r="K682" s="11"/>
      <c r="L682" s="11"/>
    </row>
    <row r="683" ht="12.75" customHeight="1">
      <c r="J683" s="11"/>
      <c r="K683" s="11"/>
      <c r="L683" s="11"/>
    </row>
    <row r="684" ht="12.75" customHeight="1">
      <c r="J684" s="11"/>
      <c r="K684" s="11"/>
      <c r="L684" s="11"/>
    </row>
    <row r="685" ht="12.75" customHeight="1">
      <c r="J685" s="11"/>
      <c r="K685" s="11"/>
      <c r="L685" s="11"/>
    </row>
    <row r="686" ht="12.75" customHeight="1">
      <c r="J686" s="11"/>
      <c r="K686" s="11"/>
      <c r="L686" s="11"/>
    </row>
    <row r="687" ht="12.75" customHeight="1">
      <c r="J687" s="11"/>
      <c r="K687" s="11"/>
      <c r="L687" s="11"/>
    </row>
    <row r="688" ht="12.75" customHeight="1">
      <c r="J688" s="11"/>
      <c r="K688" s="11"/>
      <c r="L688" s="11"/>
    </row>
    <row r="689" ht="12.75" customHeight="1">
      <c r="J689" s="11"/>
      <c r="K689" s="11"/>
      <c r="L689" s="11"/>
    </row>
    <row r="690" ht="12.75" customHeight="1">
      <c r="J690" s="11"/>
      <c r="K690" s="11"/>
      <c r="L690" s="11"/>
    </row>
    <row r="691" ht="12.75" customHeight="1">
      <c r="J691" s="11"/>
      <c r="K691" s="11"/>
      <c r="L691" s="11"/>
    </row>
    <row r="692" ht="12.75" customHeight="1">
      <c r="J692" s="11"/>
      <c r="K692" s="11"/>
      <c r="L692" s="11"/>
    </row>
    <row r="693" ht="12.75" customHeight="1">
      <c r="J693" s="11"/>
      <c r="K693" s="11"/>
      <c r="L693" s="11"/>
    </row>
    <row r="694" ht="12.75" customHeight="1">
      <c r="J694" s="11"/>
      <c r="K694" s="11"/>
      <c r="L694" s="11"/>
    </row>
    <row r="695" ht="12.75" customHeight="1">
      <c r="J695" s="11"/>
      <c r="K695" s="11"/>
      <c r="L695" s="11"/>
    </row>
    <row r="696" ht="12.75" customHeight="1">
      <c r="J696" s="11"/>
      <c r="K696" s="11"/>
      <c r="L696" s="11"/>
    </row>
    <row r="697" ht="12.75" customHeight="1">
      <c r="J697" s="11"/>
      <c r="K697" s="11"/>
      <c r="L697" s="11"/>
    </row>
    <row r="698" ht="12.75" customHeight="1">
      <c r="J698" s="11"/>
      <c r="K698" s="11"/>
      <c r="L698" s="11"/>
    </row>
    <row r="699" ht="12.75" customHeight="1">
      <c r="J699" s="11"/>
      <c r="K699" s="11"/>
      <c r="L699" s="11"/>
    </row>
    <row r="700" ht="12.75" customHeight="1">
      <c r="J700" s="11"/>
      <c r="K700" s="11"/>
      <c r="L700" s="11"/>
    </row>
    <row r="701" ht="12.75" customHeight="1">
      <c r="J701" s="11"/>
      <c r="K701" s="11"/>
      <c r="L701" s="11"/>
    </row>
    <row r="702" ht="12.75" customHeight="1">
      <c r="J702" s="11"/>
      <c r="K702" s="11"/>
      <c r="L702" s="11"/>
    </row>
    <row r="703" ht="12.75" customHeight="1">
      <c r="J703" s="11"/>
      <c r="K703" s="11"/>
      <c r="L703" s="11"/>
    </row>
    <row r="704" ht="12.75" customHeight="1">
      <c r="J704" s="11"/>
      <c r="K704" s="11"/>
      <c r="L704" s="11"/>
    </row>
    <row r="705" ht="12.75" customHeight="1">
      <c r="J705" s="11"/>
      <c r="K705" s="11"/>
      <c r="L705" s="11"/>
    </row>
    <row r="706" ht="12.75" customHeight="1">
      <c r="J706" s="11"/>
      <c r="K706" s="11"/>
      <c r="L706" s="11"/>
    </row>
    <row r="707" ht="12.75" customHeight="1">
      <c r="J707" s="11"/>
      <c r="K707" s="11"/>
      <c r="L707" s="11"/>
    </row>
    <row r="708" ht="12.75" customHeight="1">
      <c r="J708" s="11"/>
      <c r="K708" s="11"/>
      <c r="L708" s="11"/>
    </row>
    <row r="709" ht="12.75" customHeight="1">
      <c r="J709" s="11"/>
      <c r="K709" s="11"/>
      <c r="L709" s="11"/>
    </row>
    <row r="710" ht="12.75" customHeight="1">
      <c r="J710" s="11"/>
      <c r="K710" s="11"/>
      <c r="L710" s="11"/>
    </row>
    <row r="711" ht="12.75" customHeight="1">
      <c r="J711" s="11"/>
      <c r="K711" s="11"/>
      <c r="L711" s="11"/>
    </row>
    <row r="712" ht="12.75" customHeight="1">
      <c r="J712" s="11"/>
      <c r="K712" s="11"/>
      <c r="L712" s="11"/>
    </row>
    <row r="713" ht="12.75" customHeight="1">
      <c r="J713" s="11"/>
      <c r="K713" s="11"/>
      <c r="L713" s="11"/>
    </row>
    <row r="714" ht="12.75" customHeight="1">
      <c r="J714" s="11"/>
      <c r="K714" s="11"/>
      <c r="L714" s="11"/>
    </row>
    <row r="715" ht="12.75" customHeight="1">
      <c r="J715" s="11"/>
      <c r="K715" s="11"/>
      <c r="L715" s="11"/>
    </row>
    <row r="716" ht="12.75" customHeight="1">
      <c r="J716" s="11"/>
      <c r="K716" s="11"/>
      <c r="L716" s="11"/>
    </row>
    <row r="717" ht="12.75" customHeight="1">
      <c r="J717" s="11"/>
      <c r="K717" s="11"/>
      <c r="L717" s="11"/>
    </row>
    <row r="718" ht="12.75" customHeight="1">
      <c r="J718" s="11"/>
      <c r="K718" s="11"/>
      <c r="L718" s="11"/>
    </row>
    <row r="719" ht="12.75" customHeight="1">
      <c r="J719" s="11"/>
      <c r="K719" s="11"/>
      <c r="L719" s="11"/>
    </row>
    <row r="720" ht="12.75" customHeight="1">
      <c r="J720" s="11"/>
      <c r="K720" s="11"/>
      <c r="L720" s="11"/>
    </row>
    <row r="721" ht="12.75" customHeight="1">
      <c r="J721" s="11"/>
      <c r="K721" s="11"/>
      <c r="L721" s="11"/>
    </row>
    <row r="722" ht="12.75" customHeight="1">
      <c r="J722" s="11"/>
      <c r="K722" s="11"/>
      <c r="L722" s="11"/>
    </row>
    <row r="723" ht="12.75" customHeight="1">
      <c r="J723" s="11"/>
      <c r="K723" s="11"/>
      <c r="L723" s="11"/>
    </row>
    <row r="724" ht="12.75" customHeight="1">
      <c r="J724" s="11"/>
      <c r="K724" s="11"/>
      <c r="L724" s="11"/>
    </row>
    <row r="725" ht="12.75" customHeight="1">
      <c r="J725" s="11"/>
      <c r="K725" s="11"/>
      <c r="L725" s="11"/>
    </row>
    <row r="726" ht="12.75" customHeight="1">
      <c r="J726" s="11"/>
      <c r="K726" s="11"/>
      <c r="L726" s="11"/>
    </row>
    <row r="727" ht="12.75" customHeight="1">
      <c r="J727" s="11"/>
      <c r="K727" s="11"/>
      <c r="L727" s="11"/>
    </row>
    <row r="728" ht="12.75" customHeight="1">
      <c r="J728" s="11"/>
      <c r="K728" s="11"/>
      <c r="L728" s="11"/>
    </row>
    <row r="729" ht="12.75" customHeight="1">
      <c r="J729" s="11"/>
      <c r="K729" s="11"/>
      <c r="L729" s="11"/>
    </row>
    <row r="730" ht="12.75" customHeight="1">
      <c r="J730" s="11"/>
      <c r="K730" s="11"/>
      <c r="L730" s="11"/>
    </row>
    <row r="731" ht="12.75" customHeight="1">
      <c r="J731" s="11"/>
      <c r="K731" s="11"/>
      <c r="L731" s="11"/>
    </row>
    <row r="732" ht="12.75" customHeight="1">
      <c r="J732" s="11"/>
      <c r="K732" s="11"/>
      <c r="L732" s="11"/>
    </row>
    <row r="733" ht="12.75" customHeight="1">
      <c r="J733" s="11"/>
      <c r="K733" s="11"/>
      <c r="L733" s="11"/>
    </row>
    <row r="734" ht="12.75" customHeight="1">
      <c r="J734" s="11"/>
      <c r="K734" s="11"/>
      <c r="L734" s="11"/>
    </row>
    <row r="735" ht="12.75" customHeight="1">
      <c r="J735" s="11"/>
      <c r="K735" s="11"/>
      <c r="L735" s="11"/>
    </row>
    <row r="736" ht="12.75" customHeight="1">
      <c r="J736" s="11"/>
      <c r="K736" s="11"/>
      <c r="L736" s="11"/>
    </row>
    <row r="737" ht="12.75" customHeight="1">
      <c r="J737" s="11"/>
      <c r="K737" s="11"/>
      <c r="L737" s="11"/>
    </row>
    <row r="738" ht="12.75" customHeight="1">
      <c r="J738" s="11"/>
      <c r="K738" s="11"/>
      <c r="L738" s="11"/>
    </row>
    <row r="739" ht="12.75" customHeight="1">
      <c r="J739" s="11"/>
      <c r="K739" s="11"/>
      <c r="L739" s="11"/>
    </row>
    <row r="740" ht="12.75" customHeight="1">
      <c r="J740" s="11"/>
      <c r="K740" s="11"/>
      <c r="L740" s="11"/>
    </row>
    <row r="741" ht="12.75" customHeight="1">
      <c r="J741" s="11"/>
      <c r="K741" s="11"/>
      <c r="L741" s="11"/>
    </row>
    <row r="742" ht="12.75" customHeight="1">
      <c r="J742" s="11"/>
      <c r="K742" s="11"/>
      <c r="L742" s="11"/>
    </row>
    <row r="743" ht="12.75" customHeight="1">
      <c r="J743" s="11"/>
      <c r="K743" s="11"/>
      <c r="L743" s="11"/>
    </row>
    <row r="744" ht="12.75" customHeight="1">
      <c r="J744" s="11"/>
      <c r="K744" s="11"/>
      <c r="L744" s="11"/>
    </row>
    <row r="745" ht="12.75" customHeight="1">
      <c r="J745" s="11"/>
      <c r="K745" s="11"/>
      <c r="L745" s="11"/>
    </row>
    <row r="746" ht="12.75" customHeight="1">
      <c r="J746" s="11"/>
      <c r="K746" s="11"/>
      <c r="L746" s="11"/>
    </row>
    <row r="747" ht="12.75" customHeight="1">
      <c r="J747" s="11"/>
      <c r="K747" s="11"/>
      <c r="L747" s="11"/>
    </row>
    <row r="748" ht="12.75" customHeight="1">
      <c r="J748" s="11"/>
      <c r="K748" s="11"/>
      <c r="L748" s="11"/>
    </row>
    <row r="749" ht="12.75" customHeight="1">
      <c r="J749" s="11"/>
      <c r="K749" s="11"/>
      <c r="L749" s="11"/>
    </row>
    <row r="750" ht="12.75" customHeight="1">
      <c r="J750" s="11"/>
      <c r="K750" s="11"/>
      <c r="L750" s="11"/>
    </row>
    <row r="751" ht="12.75" customHeight="1">
      <c r="J751" s="11"/>
      <c r="K751" s="11"/>
      <c r="L751" s="11"/>
    </row>
    <row r="752" ht="12.75" customHeight="1">
      <c r="J752" s="11"/>
      <c r="K752" s="11"/>
      <c r="L752" s="11"/>
    </row>
    <row r="753" ht="12.75" customHeight="1">
      <c r="J753" s="11"/>
      <c r="K753" s="11"/>
      <c r="L753" s="11"/>
    </row>
    <row r="754" ht="12.75" customHeight="1">
      <c r="J754" s="11"/>
      <c r="K754" s="11"/>
      <c r="L754" s="11"/>
    </row>
    <row r="755" ht="12.75" customHeight="1">
      <c r="J755" s="11"/>
      <c r="K755" s="11"/>
      <c r="L755" s="11"/>
    </row>
    <row r="756" ht="12.75" customHeight="1">
      <c r="J756" s="11"/>
      <c r="K756" s="11"/>
      <c r="L756" s="11"/>
    </row>
    <row r="757" ht="12.75" customHeight="1">
      <c r="J757" s="11"/>
      <c r="K757" s="11"/>
      <c r="L757" s="11"/>
    </row>
    <row r="758" ht="12.75" customHeight="1">
      <c r="J758" s="11"/>
      <c r="K758" s="11"/>
      <c r="L758" s="11"/>
    </row>
    <row r="759" ht="12.75" customHeight="1">
      <c r="J759" s="11"/>
      <c r="K759" s="11"/>
      <c r="L759" s="11"/>
    </row>
    <row r="760" ht="12.75" customHeight="1">
      <c r="J760" s="11"/>
      <c r="K760" s="11"/>
      <c r="L760" s="11"/>
    </row>
    <row r="761" ht="12.75" customHeight="1">
      <c r="J761" s="11"/>
      <c r="K761" s="11"/>
      <c r="L761" s="11"/>
    </row>
    <row r="762" ht="12.75" customHeight="1">
      <c r="J762" s="11"/>
      <c r="K762" s="11"/>
      <c r="L762" s="11"/>
    </row>
    <row r="763" ht="12.75" customHeight="1">
      <c r="J763" s="11"/>
      <c r="K763" s="11"/>
      <c r="L763" s="11"/>
    </row>
    <row r="764" ht="12.75" customHeight="1">
      <c r="J764" s="11"/>
      <c r="K764" s="11"/>
      <c r="L764" s="11"/>
    </row>
    <row r="765" ht="12.75" customHeight="1">
      <c r="J765" s="11"/>
      <c r="K765" s="11"/>
      <c r="L765" s="11"/>
    </row>
    <row r="766" ht="12.75" customHeight="1">
      <c r="J766" s="11"/>
      <c r="K766" s="11"/>
      <c r="L766" s="11"/>
    </row>
    <row r="767" ht="12.75" customHeight="1">
      <c r="J767" s="11"/>
      <c r="K767" s="11"/>
      <c r="L767" s="11"/>
    </row>
    <row r="768" ht="12.75" customHeight="1">
      <c r="J768" s="11"/>
      <c r="K768" s="11"/>
      <c r="L768" s="11"/>
    </row>
    <row r="769" ht="12.75" customHeight="1">
      <c r="J769" s="11"/>
      <c r="K769" s="11"/>
      <c r="L769" s="11"/>
    </row>
    <row r="770" ht="12.75" customHeight="1">
      <c r="J770" s="11"/>
      <c r="K770" s="11"/>
      <c r="L770" s="11"/>
    </row>
    <row r="771" ht="12.75" customHeight="1">
      <c r="J771" s="11"/>
      <c r="K771" s="11"/>
      <c r="L771" s="11"/>
    </row>
    <row r="772" ht="12.75" customHeight="1">
      <c r="J772" s="11"/>
      <c r="K772" s="11"/>
      <c r="L772" s="11"/>
    </row>
    <row r="773" ht="12.75" customHeight="1">
      <c r="J773" s="11"/>
      <c r="K773" s="11"/>
      <c r="L773" s="11"/>
    </row>
    <row r="774" ht="12.75" customHeight="1">
      <c r="J774" s="11"/>
      <c r="K774" s="11"/>
      <c r="L774" s="11"/>
    </row>
    <row r="775" ht="12.75" customHeight="1">
      <c r="J775" s="11"/>
      <c r="K775" s="11"/>
      <c r="L775" s="11"/>
    </row>
    <row r="776" ht="12.75" customHeight="1">
      <c r="J776" s="11"/>
      <c r="K776" s="11"/>
      <c r="L776" s="11"/>
    </row>
    <row r="777" ht="12.75" customHeight="1">
      <c r="J777" s="11"/>
      <c r="K777" s="11"/>
      <c r="L777" s="11"/>
    </row>
    <row r="778" ht="12.75" customHeight="1">
      <c r="J778" s="11"/>
      <c r="K778" s="11"/>
      <c r="L778" s="11"/>
    </row>
    <row r="779" ht="12.75" customHeight="1">
      <c r="J779" s="11"/>
      <c r="K779" s="11"/>
      <c r="L779" s="11"/>
    </row>
    <row r="780" ht="12.75" customHeight="1">
      <c r="J780" s="11"/>
      <c r="K780" s="11"/>
      <c r="L780" s="11"/>
    </row>
    <row r="781" ht="12.75" customHeight="1">
      <c r="J781" s="11"/>
      <c r="K781" s="11"/>
      <c r="L781" s="11"/>
    </row>
    <row r="782" ht="12.75" customHeight="1">
      <c r="J782" s="11"/>
      <c r="K782" s="11"/>
      <c r="L782" s="11"/>
    </row>
    <row r="783" ht="12.75" customHeight="1">
      <c r="J783" s="11"/>
      <c r="K783" s="11"/>
      <c r="L783" s="11"/>
    </row>
    <row r="784" ht="12.75" customHeight="1">
      <c r="J784" s="11"/>
      <c r="K784" s="11"/>
      <c r="L784" s="11"/>
    </row>
    <row r="785" ht="12.75" customHeight="1">
      <c r="J785" s="11"/>
      <c r="K785" s="11"/>
      <c r="L785" s="11"/>
    </row>
    <row r="786" ht="12.75" customHeight="1">
      <c r="J786" s="11"/>
      <c r="K786" s="11"/>
      <c r="L786" s="11"/>
    </row>
    <row r="787" ht="12.75" customHeight="1">
      <c r="J787" s="11"/>
      <c r="K787" s="11"/>
      <c r="L787" s="11"/>
    </row>
    <row r="788" ht="12.75" customHeight="1">
      <c r="J788" s="11"/>
      <c r="K788" s="11"/>
      <c r="L788" s="11"/>
    </row>
    <row r="789" ht="12.75" customHeight="1">
      <c r="J789" s="11"/>
      <c r="K789" s="11"/>
      <c r="L789" s="11"/>
    </row>
    <row r="790" ht="12.75" customHeight="1">
      <c r="J790" s="11"/>
      <c r="K790" s="11"/>
      <c r="L790" s="11"/>
    </row>
    <row r="791" ht="12.75" customHeight="1">
      <c r="J791" s="11"/>
      <c r="K791" s="11"/>
      <c r="L791" s="11"/>
    </row>
    <row r="792" ht="12.75" customHeight="1">
      <c r="J792" s="11"/>
      <c r="K792" s="11"/>
      <c r="L792" s="11"/>
    </row>
    <row r="793" ht="12.75" customHeight="1">
      <c r="J793" s="11"/>
      <c r="K793" s="11"/>
      <c r="L793" s="11"/>
    </row>
    <row r="794" ht="12.75" customHeight="1">
      <c r="J794" s="11"/>
      <c r="K794" s="11"/>
      <c r="L794" s="11"/>
    </row>
    <row r="795" ht="12.75" customHeight="1">
      <c r="J795" s="11"/>
      <c r="K795" s="11"/>
      <c r="L795" s="11"/>
    </row>
    <row r="796" ht="12.75" customHeight="1">
      <c r="J796" s="11"/>
      <c r="K796" s="11"/>
      <c r="L796" s="11"/>
    </row>
    <row r="797" ht="12.75" customHeight="1">
      <c r="J797" s="11"/>
      <c r="K797" s="11"/>
      <c r="L797" s="11"/>
    </row>
    <row r="798" ht="12.75" customHeight="1">
      <c r="J798" s="11"/>
      <c r="K798" s="11"/>
      <c r="L798" s="11"/>
    </row>
    <row r="799" ht="12.75" customHeight="1">
      <c r="J799" s="11"/>
      <c r="K799" s="11"/>
      <c r="L799" s="11"/>
    </row>
    <row r="800" ht="12.75" customHeight="1">
      <c r="J800" s="11"/>
      <c r="K800" s="11"/>
      <c r="L800" s="11"/>
    </row>
    <row r="801" ht="12.75" customHeight="1">
      <c r="J801" s="11"/>
      <c r="K801" s="11"/>
      <c r="L801" s="11"/>
    </row>
    <row r="802" ht="12.75" customHeight="1">
      <c r="J802" s="11"/>
      <c r="K802" s="11"/>
      <c r="L802" s="11"/>
    </row>
    <row r="803" ht="12.75" customHeight="1">
      <c r="J803" s="11"/>
      <c r="K803" s="11"/>
      <c r="L803" s="11"/>
    </row>
    <row r="804" ht="12.75" customHeight="1">
      <c r="J804" s="11"/>
      <c r="K804" s="11"/>
      <c r="L804" s="11"/>
    </row>
    <row r="805" ht="12.75" customHeight="1">
      <c r="J805" s="11"/>
      <c r="K805" s="11"/>
      <c r="L805" s="11"/>
    </row>
    <row r="806" ht="12.75" customHeight="1">
      <c r="J806" s="11"/>
      <c r="K806" s="11"/>
      <c r="L806" s="11"/>
    </row>
    <row r="807" ht="12.75" customHeight="1">
      <c r="J807" s="11"/>
      <c r="K807" s="11"/>
      <c r="L807" s="11"/>
    </row>
    <row r="808" ht="12.75" customHeight="1">
      <c r="J808" s="11"/>
      <c r="K808" s="11"/>
      <c r="L808" s="11"/>
    </row>
    <row r="809" ht="12.75" customHeight="1">
      <c r="J809" s="11"/>
      <c r="K809" s="11"/>
      <c r="L809" s="11"/>
    </row>
    <row r="810" ht="12.75" customHeight="1">
      <c r="J810" s="11"/>
      <c r="K810" s="11"/>
      <c r="L810" s="11"/>
    </row>
    <row r="811" ht="12.75" customHeight="1">
      <c r="J811" s="11"/>
      <c r="K811" s="11"/>
      <c r="L811" s="11"/>
    </row>
    <row r="812" ht="12.75" customHeight="1">
      <c r="J812" s="11"/>
      <c r="K812" s="11"/>
      <c r="L812" s="11"/>
    </row>
    <row r="813" ht="12.75" customHeight="1">
      <c r="J813" s="11"/>
      <c r="K813" s="11"/>
      <c r="L813" s="11"/>
    </row>
    <row r="814" ht="12.75" customHeight="1">
      <c r="J814" s="11"/>
      <c r="K814" s="11"/>
      <c r="L814" s="11"/>
    </row>
    <row r="815" ht="12.75" customHeight="1">
      <c r="J815" s="11"/>
      <c r="K815" s="11"/>
      <c r="L815" s="11"/>
    </row>
    <row r="816" ht="12.75" customHeight="1">
      <c r="J816" s="11"/>
      <c r="K816" s="11"/>
      <c r="L816" s="11"/>
    </row>
    <row r="817" ht="12.75" customHeight="1">
      <c r="J817" s="11"/>
      <c r="K817" s="11"/>
      <c r="L817" s="11"/>
    </row>
    <row r="818" ht="12.75" customHeight="1">
      <c r="J818" s="11"/>
      <c r="K818" s="11"/>
      <c r="L818" s="11"/>
    </row>
    <row r="819" ht="12.75" customHeight="1">
      <c r="J819" s="11"/>
      <c r="K819" s="11"/>
      <c r="L819" s="11"/>
    </row>
    <row r="820" ht="12.75" customHeight="1">
      <c r="J820" s="11"/>
      <c r="K820" s="11"/>
      <c r="L820" s="11"/>
    </row>
    <row r="821" ht="12.75" customHeight="1">
      <c r="J821" s="11"/>
      <c r="K821" s="11"/>
      <c r="L821" s="11"/>
    </row>
    <row r="822" ht="12.75" customHeight="1">
      <c r="J822" s="11"/>
      <c r="K822" s="11"/>
      <c r="L822" s="11"/>
    </row>
    <row r="823" ht="12.75" customHeight="1">
      <c r="J823" s="11"/>
      <c r="K823" s="11"/>
      <c r="L823" s="11"/>
    </row>
    <row r="824" ht="12.75" customHeight="1">
      <c r="J824" s="11"/>
      <c r="K824" s="11"/>
      <c r="L824" s="11"/>
    </row>
    <row r="825" ht="12.75" customHeight="1">
      <c r="J825" s="11"/>
      <c r="K825" s="11"/>
      <c r="L825" s="11"/>
    </row>
    <row r="826" ht="12.75" customHeight="1">
      <c r="J826" s="11"/>
      <c r="K826" s="11"/>
      <c r="L826" s="11"/>
    </row>
    <row r="827" ht="12.75" customHeight="1">
      <c r="J827" s="11"/>
      <c r="K827" s="11"/>
      <c r="L827" s="11"/>
    </row>
    <row r="828" ht="12.75" customHeight="1">
      <c r="J828" s="11"/>
      <c r="K828" s="11"/>
      <c r="L828" s="11"/>
    </row>
    <row r="829" ht="12.75" customHeight="1">
      <c r="J829" s="11"/>
      <c r="K829" s="11"/>
      <c r="L829" s="11"/>
    </row>
    <row r="830" ht="12.75" customHeight="1">
      <c r="J830" s="11"/>
      <c r="K830" s="11"/>
      <c r="L830" s="11"/>
    </row>
    <row r="831" ht="12.75" customHeight="1">
      <c r="J831" s="11"/>
      <c r="K831" s="11"/>
      <c r="L831" s="11"/>
    </row>
    <row r="832" ht="12.75" customHeight="1">
      <c r="J832" s="11"/>
      <c r="K832" s="11"/>
      <c r="L832" s="11"/>
    </row>
    <row r="833" ht="12.75" customHeight="1">
      <c r="J833" s="11"/>
      <c r="K833" s="11"/>
      <c r="L833" s="11"/>
    </row>
    <row r="834" ht="12.75" customHeight="1">
      <c r="J834" s="11"/>
      <c r="K834" s="11"/>
      <c r="L834" s="11"/>
    </row>
    <row r="835" ht="12.75" customHeight="1">
      <c r="J835" s="11"/>
      <c r="K835" s="11"/>
      <c r="L835" s="11"/>
    </row>
    <row r="836" ht="12.75" customHeight="1">
      <c r="J836" s="11"/>
      <c r="K836" s="11"/>
      <c r="L836" s="11"/>
    </row>
    <row r="837" ht="12.75" customHeight="1">
      <c r="J837" s="11"/>
      <c r="K837" s="11"/>
      <c r="L837" s="11"/>
    </row>
    <row r="838" ht="12.75" customHeight="1">
      <c r="J838" s="11"/>
      <c r="K838" s="11"/>
      <c r="L838" s="11"/>
    </row>
    <row r="839" ht="12.75" customHeight="1">
      <c r="J839" s="11"/>
      <c r="K839" s="11"/>
      <c r="L839" s="11"/>
    </row>
    <row r="840" ht="12.75" customHeight="1">
      <c r="J840" s="11"/>
      <c r="K840" s="11"/>
      <c r="L840" s="11"/>
    </row>
    <row r="841" ht="12.75" customHeight="1">
      <c r="J841" s="11"/>
      <c r="K841" s="11"/>
      <c r="L841" s="11"/>
    </row>
    <row r="842" ht="12.75" customHeight="1">
      <c r="J842" s="11"/>
      <c r="K842" s="11"/>
      <c r="L842" s="11"/>
    </row>
    <row r="843" ht="12.75" customHeight="1">
      <c r="J843" s="11"/>
      <c r="K843" s="11"/>
      <c r="L843" s="11"/>
    </row>
    <row r="844" ht="12.75" customHeight="1">
      <c r="J844" s="11"/>
      <c r="K844" s="11"/>
      <c r="L844" s="11"/>
    </row>
    <row r="845" ht="12.75" customHeight="1">
      <c r="J845" s="11"/>
      <c r="K845" s="11"/>
      <c r="L845" s="11"/>
    </row>
    <row r="846" ht="12.75" customHeight="1">
      <c r="J846" s="11"/>
      <c r="K846" s="11"/>
      <c r="L846" s="11"/>
    </row>
    <row r="847" ht="12.75" customHeight="1">
      <c r="J847" s="11"/>
      <c r="K847" s="11"/>
      <c r="L847" s="11"/>
    </row>
    <row r="848" ht="12.75" customHeight="1">
      <c r="J848" s="11"/>
      <c r="K848" s="11"/>
      <c r="L848" s="11"/>
    </row>
    <row r="849" ht="12.75" customHeight="1">
      <c r="J849" s="11"/>
      <c r="K849" s="11"/>
      <c r="L849" s="11"/>
    </row>
    <row r="850" ht="12.75" customHeight="1">
      <c r="J850" s="11"/>
      <c r="K850" s="11"/>
      <c r="L850" s="11"/>
    </row>
    <row r="851" ht="12.75" customHeight="1">
      <c r="J851" s="11"/>
      <c r="K851" s="11"/>
      <c r="L851" s="11"/>
    </row>
    <row r="852" ht="12.75" customHeight="1">
      <c r="J852" s="11"/>
      <c r="K852" s="11"/>
      <c r="L852" s="11"/>
    </row>
    <row r="853" ht="12.75" customHeight="1">
      <c r="J853" s="11"/>
      <c r="K853" s="11"/>
      <c r="L853" s="11"/>
    </row>
    <row r="854" ht="12.75" customHeight="1">
      <c r="J854" s="11"/>
      <c r="K854" s="11"/>
      <c r="L854" s="11"/>
    </row>
    <row r="855" ht="12.75" customHeight="1">
      <c r="J855" s="11"/>
      <c r="K855" s="11"/>
      <c r="L855" s="11"/>
    </row>
    <row r="856" ht="12.75" customHeight="1">
      <c r="J856" s="11"/>
      <c r="K856" s="11"/>
      <c r="L856" s="11"/>
    </row>
    <row r="857" ht="12.75" customHeight="1">
      <c r="J857" s="11"/>
      <c r="K857" s="11"/>
      <c r="L857" s="11"/>
    </row>
    <row r="858" ht="12.75" customHeight="1">
      <c r="J858" s="11"/>
      <c r="K858" s="11"/>
      <c r="L858" s="11"/>
    </row>
    <row r="859" ht="12.75" customHeight="1">
      <c r="J859" s="11"/>
      <c r="K859" s="11"/>
      <c r="L859" s="11"/>
    </row>
    <row r="860" ht="12.75" customHeight="1">
      <c r="J860" s="11"/>
      <c r="K860" s="11"/>
      <c r="L860" s="11"/>
    </row>
    <row r="861" ht="12.75" customHeight="1">
      <c r="J861" s="11"/>
      <c r="K861" s="11"/>
      <c r="L861" s="11"/>
    </row>
    <row r="862" ht="12.75" customHeight="1">
      <c r="J862" s="11"/>
      <c r="K862" s="11"/>
      <c r="L862" s="11"/>
    </row>
    <row r="863" ht="12.75" customHeight="1">
      <c r="J863" s="11"/>
      <c r="K863" s="11"/>
      <c r="L863" s="11"/>
    </row>
    <row r="864" ht="12.75" customHeight="1">
      <c r="J864" s="11"/>
      <c r="K864" s="11"/>
      <c r="L864" s="11"/>
    </row>
    <row r="865" ht="12.75" customHeight="1">
      <c r="J865" s="11"/>
      <c r="K865" s="11"/>
      <c r="L865" s="11"/>
    </row>
    <row r="866" ht="12.75" customHeight="1">
      <c r="J866" s="11"/>
      <c r="K866" s="11"/>
      <c r="L866" s="11"/>
    </row>
    <row r="867" ht="12.75" customHeight="1">
      <c r="J867" s="11"/>
      <c r="K867" s="11"/>
      <c r="L867" s="11"/>
    </row>
    <row r="868" ht="12.75" customHeight="1">
      <c r="J868" s="11"/>
      <c r="K868" s="11"/>
      <c r="L868" s="11"/>
    </row>
    <row r="869" ht="12.75" customHeight="1">
      <c r="J869" s="11"/>
      <c r="K869" s="11"/>
      <c r="L869" s="11"/>
    </row>
    <row r="870" ht="12.75" customHeight="1">
      <c r="J870" s="11"/>
      <c r="K870" s="11"/>
      <c r="L870" s="11"/>
    </row>
    <row r="871" ht="12.75" customHeight="1">
      <c r="J871" s="11"/>
      <c r="K871" s="11"/>
      <c r="L871" s="11"/>
    </row>
    <row r="872" ht="12.75" customHeight="1">
      <c r="J872" s="11"/>
      <c r="K872" s="11"/>
      <c r="L872" s="11"/>
    </row>
    <row r="873" ht="12.75" customHeight="1">
      <c r="J873" s="11"/>
      <c r="K873" s="11"/>
      <c r="L873" s="11"/>
    </row>
    <row r="874" ht="12.75" customHeight="1">
      <c r="J874" s="11"/>
      <c r="K874" s="11"/>
      <c r="L874" s="11"/>
    </row>
    <row r="875" ht="12.75" customHeight="1">
      <c r="J875" s="11"/>
      <c r="K875" s="11"/>
      <c r="L875" s="11"/>
    </row>
    <row r="876" ht="12.75" customHeight="1">
      <c r="J876" s="11"/>
      <c r="K876" s="11"/>
      <c r="L876" s="11"/>
    </row>
    <row r="877" ht="12.75" customHeight="1">
      <c r="J877" s="11"/>
      <c r="K877" s="11"/>
      <c r="L877" s="11"/>
    </row>
    <row r="878" ht="12.75" customHeight="1">
      <c r="J878" s="11"/>
      <c r="K878" s="11"/>
      <c r="L878" s="11"/>
    </row>
    <row r="879" ht="12.75" customHeight="1">
      <c r="J879" s="11"/>
      <c r="K879" s="11"/>
      <c r="L879" s="11"/>
    </row>
    <row r="880" ht="12.75" customHeight="1">
      <c r="J880" s="11"/>
      <c r="K880" s="11"/>
      <c r="L880" s="11"/>
    </row>
    <row r="881" ht="12.75" customHeight="1">
      <c r="J881" s="11"/>
      <c r="K881" s="11"/>
      <c r="L881" s="11"/>
    </row>
    <row r="882" ht="12.75" customHeight="1">
      <c r="J882" s="11"/>
      <c r="K882" s="11"/>
      <c r="L882" s="11"/>
    </row>
    <row r="883" ht="12.75" customHeight="1">
      <c r="J883" s="11"/>
      <c r="K883" s="11"/>
      <c r="L883" s="11"/>
    </row>
    <row r="884" ht="12.75" customHeight="1">
      <c r="J884" s="11"/>
      <c r="K884" s="11"/>
      <c r="L884" s="11"/>
    </row>
    <row r="885" ht="12.75" customHeight="1">
      <c r="J885" s="11"/>
      <c r="K885" s="11"/>
      <c r="L885" s="11"/>
    </row>
    <row r="886" ht="12.75" customHeight="1">
      <c r="J886" s="11"/>
      <c r="K886" s="11"/>
      <c r="L886" s="11"/>
    </row>
    <row r="887" ht="12.75" customHeight="1">
      <c r="J887" s="11"/>
      <c r="K887" s="11"/>
      <c r="L887" s="11"/>
    </row>
    <row r="888" ht="12.75" customHeight="1">
      <c r="J888" s="11"/>
      <c r="K888" s="11"/>
      <c r="L888" s="11"/>
    </row>
    <row r="889" ht="12.75" customHeight="1">
      <c r="J889" s="11"/>
      <c r="K889" s="11"/>
      <c r="L889" s="11"/>
    </row>
    <row r="890" ht="12.75" customHeight="1">
      <c r="J890" s="11"/>
      <c r="K890" s="11"/>
      <c r="L890" s="11"/>
    </row>
    <row r="891" ht="12.75" customHeight="1">
      <c r="J891" s="11"/>
      <c r="K891" s="11"/>
      <c r="L891" s="11"/>
    </row>
    <row r="892" ht="12.75" customHeight="1">
      <c r="J892" s="11"/>
      <c r="K892" s="11"/>
      <c r="L892" s="11"/>
    </row>
    <row r="893" ht="12.75" customHeight="1">
      <c r="J893" s="11"/>
      <c r="K893" s="11"/>
      <c r="L893" s="11"/>
    </row>
    <row r="894" ht="12.75" customHeight="1">
      <c r="J894" s="11"/>
      <c r="K894" s="11"/>
      <c r="L894" s="11"/>
    </row>
    <row r="895" ht="12.75" customHeight="1">
      <c r="J895" s="11"/>
      <c r="K895" s="11"/>
      <c r="L895" s="11"/>
    </row>
    <row r="896" ht="12.75" customHeight="1">
      <c r="J896" s="11"/>
      <c r="K896" s="11"/>
      <c r="L896" s="11"/>
    </row>
    <row r="897" ht="12.75" customHeight="1">
      <c r="J897" s="11"/>
      <c r="K897" s="11"/>
      <c r="L897" s="11"/>
    </row>
    <row r="898" ht="12.75" customHeight="1">
      <c r="J898" s="11"/>
      <c r="K898" s="11"/>
      <c r="L898" s="11"/>
    </row>
    <row r="899" ht="12.75" customHeight="1">
      <c r="J899" s="11"/>
      <c r="K899" s="11"/>
      <c r="L899" s="11"/>
    </row>
    <row r="900" ht="12.75" customHeight="1">
      <c r="J900" s="11"/>
      <c r="K900" s="11"/>
      <c r="L900" s="11"/>
    </row>
    <row r="901" ht="12.75" customHeight="1">
      <c r="J901" s="11"/>
      <c r="K901" s="11"/>
      <c r="L901" s="11"/>
    </row>
    <row r="902" ht="12.75" customHeight="1">
      <c r="J902" s="11"/>
      <c r="K902" s="11"/>
      <c r="L902" s="11"/>
    </row>
    <row r="903" ht="12.75" customHeight="1">
      <c r="J903" s="11"/>
      <c r="K903" s="11"/>
      <c r="L903" s="11"/>
    </row>
    <row r="904" ht="12.75" customHeight="1">
      <c r="J904" s="11"/>
      <c r="K904" s="11"/>
      <c r="L904" s="11"/>
    </row>
    <row r="905" ht="12.75" customHeight="1">
      <c r="J905" s="11"/>
      <c r="K905" s="11"/>
      <c r="L905" s="11"/>
    </row>
    <row r="906" ht="12.75" customHeight="1">
      <c r="J906" s="11"/>
      <c r="K906" s="11"/>
      <c r="L906" s="11"/>
    </row>
    <row r="907" ht="12.75" customHeight="1">
      <c r="J907" s="11"/>
      <c r="K907" s="11"/>
      <c r="L907" s="11"/>
    </row>
    <row r="908" ht="12.75" customHeight="1">
      <c r="J908" s="11"/>
      <c r="K908" s="11"/>
      <c r="L908" s="11"/>
    </row>
    <row r="909" ht="12.75" customHeight="1">
      <c r="J909" s="11"/>
      <c r="K909" s="11"/>
      <c r="L909" s="11"/>
    </row>
    <row r="910" ht="12.75" customHeight="1">
      <c r="J910" s="11"/>
      <c r="K910" s="11"/>
      <c r="L910" s="11"/>
    </row>
    <row r="911" ht="12.75" customHeight="1">
      <c r="J911" s="11"/>
      <c r="K911" s="11"/>
      <c r="L911" s="11"/>
    </row>
    <row r="912" ht="12.75" customHeight="1">
      <c r="J912" s="11"/>
      <c r="K912" s="11"/>
      <c r="L912" s="11"/>
    </row>
    <row r="913" ht="12.75" customHeight="1">
      <c r="J913" s="11"/>
      <c r="K913" s="11"/>
      <c r="L913" s="11"/>
    </row>
    <row r="914" ht="12.75" customHeight="1">
      <c r="J914" s="11"/>
      <c r="K914" s="11"/>
      <c r="L914" s="11"/>
    </row>
    <row r="915" ht="12.75" customHeight="1">
      <c r="J915" s="11"/>
      <c r="K915" s="11"/>
      <c r="L915" s="11"/>
    </row>
    <row r="916" ht="12.75" customHeight="1">
      <c r="J916" s="11"/>
      <c r="K916" s="11"/>
      <c r="L916" s="11"/>
    </row>
    <row r="917" ht="12.75" customHeight="1">
      <c r="J917" s="11"/>
      <c r="K917" s="11"/>
      <c r="L917" s="11"/>
    </row>
    <row r="918" ht="12.75" customHeight="1">
      <c r="J918" s="11"/>
      <c r="K918" s="11"/>
      <c r="L918" s="11"/>
    </row>
    <row r="919" ht="12.75" customHeight="1">
      <c r="J919" s="11"/>
      <c r="K919" s="11"/>
      <c r="L919" s="11"/>
    </row>
    <row r="920" ht="12.75" customHeight="1">
      <c r="J920" s="11"/>
      <c r="K920" s="11"/>
      <c r="L920" s="11"/>
    </row>
    <row r="921" ht="12.75" customHeight="1">
      <c r="J921" s="11"/>
      <c r="K921" s="11"/>
      <c r="L921" s="11"/>
    </row>
    <row r="922" ht="12.75" customHeight="1">
      <c r="J922" s="11"/>
      <c r="K922" s="11"/>
      <c r="L922" s="11"/>
    </row>
    <row r="923" ht="12.75" customHeight="1">
      <c r="J923" s="11"/>
      <c r="K923" s="11"/>
      <c r="L923" s="11"/>
    </row>
    <row r="924" ht="12.75" customHeight="1">
      <c r="J924" s="11"/>
      <c r="K924" s="11"/>
      <c r="L924" s="11"/>
    </row>
    <row r="925" ht="12.75" customHeight="1">
      <c r="J925" s="11"/>
      <c r="K925" s="11"/>
      <c r="L925" s="11"/>
    </row>
    <row r="926" ht="12.75" customHeight="1">
      <c r="J926" s="11"/>
      <c r="K926" s="11"/>
      <c r="L926" s="11"/>
    </row>
    <row r="927" ht="12.75" customHeight="1">
      <c r="J927" s="11"/>
      <c r="K927" s="11"/>
      <c r="L927" s="11"/>
    </row>
    <row r="928" ht="12.75" customHeight="1">
      <c r="J928" s="11"/>
      <c r="K928" s="11"/>
      <c r="L928" s="11"/>
    </row>
    <row r="929" ht="12.75" customHeight="1">
      <c r="J929" s="11"/>
      <c r="K929" s="11"/>
      <c r="L929" s="11"/>
    </row>
    <row r="930" ht="12.75" customHeight="1">
      <c r="J930" s="11"/>
      <c r="K930" s="11"/>
      <c r="L930" s="11"/>
    </row>
    <row r="931" ht="12.75" customHeight="1">
      <c r="J931" s="11"/>
      <c r="K931" s="11"/>
      <c r="L931" s="11"/>
    </row>
    <row r="932" ht="12.75" customHeight="1">
      <c r="J932" s="11"/>
      <c r="K932" s="11"/>
      <c r="L932" s="11"/>
    </row>
    <row r="933" ht="12.75" customHeight="1">
      <c r="J933" s="11"/>
      <c r="K933" s="11"/>
      <c r="L933" s="11"/>
    </row>
    <row r="934" ht="12.75" customHeight="1">
      <c r="J934" s="11"/>
      <c r="K934" s="11"/>
      <c r="L934" s="11"/>
    </row>
    <row r="935" ht="12.75" customHeight="1">
      <c r="J935" s="11"/>
      <c r="K935" s="11"/>
      <c r="L935" s="11"/>
    </row>
    <row r="936" ht="12.75" customHeight="1">
      <c r="J936" s="11"/>
      <c r="K936" s="11"/>
      <c r="L936" s="11"/>
    </row>
    <row r="937" ht="12.75" customHeight="1">
      <c r="J937" s="11"/>
      <c r="K937" s="11"/>
      <c r="L937" s="11"/>
    </row>
    <row r="938" ht="12.75" customHeight="1">
      <c r="J938" s="11"/>
      <c r="K938" s="11"/>
      <c r="L938" s="11"/>
    </row>
    <row r="939" ht="12.75" customHeight="1">
      <c r="J939" s="11"/>
      <c r="K939" s="11"/>
      <c r="L939" s="11"/>
    </row>
    <row r="940" ht="12.75" customHeight="1">
      <c r="J940" s="11"/>
      <c r="K940" s="11"/>
      <c r="L940" s="11"/>
    </row>
    <row r="941" ht="12.75" customHeight="1">
      <c r="J941" s="11"/>
      <c r="K941" s="11"/>
      <c r="L941" s="11"/>
    </row>
    <row r="942" ht="12.75" customHeight="1">
      <c r="J942" s="11"/>
      <c r="K942" s="11"/>
      <c r="L942" s="11"/>
    </row>
    <row r="943" ht="12.75" customHeight="1">
      <c r="J943" s="11"/>
      <c r="K943" s="11"/>
      <c r="L943" s="11"/>
    </row>
    <row r="944" ht="12.75" customHeight="1">
      <c r="J944" s="11"/>
      <c r="K944" s="11"/>
      <c r="L944" s="11"/>
    </row>
    <row r="945" ht="12.75" customHeight="1">
      <c r="J945" s="11"/>
      <c r="K945" s="11"/>
      <c r="L945" s="11"/>
    </row>
    <row r="946" ht="12.75" customHeight="1">
      <c r="J946" s="11"/>
      <c r="K946" s="11"/>
      <c r="L946" s="11"/>
    </row>
    <row r="947" ht="12.75" customHeight="1">
      <c r="J947" s="11"/>
      <c r="K947" s="11"/>
      <c r="L947" s="11"/>
    </row>
    <row r="948" ht="12.75" customHeight="1">
      <c r="J948" s="11"/>
      <c r="K948" s="11"/>
      <c r="L948" s="11"/>
    </row>
    <row r="949" ht="12.75" customHeight="1">
      <c r="J949" s="11"/>
      <c r="K949" s="11"/>
      <c r="L949" s="11"/>
    </row>
    <row r="950" ht="12.75" customHeight="1">
      <c r="J950" s="11"/>
      <c r="K950" s="11"/>
      <c r="L950" s="11"/>
    </row>
    <row r="951" ht="12.75" customHeight="1">
      <c r="J951" s="11"/>
      <c r="K951" s="11"/>
      <c r="L951" s="11"/>
    </row>
    <row r="952" ht="12.75" customHeight="1">
      <c r="J952" s="11"/>
      <c r="K952" s="11"/>
      <c r="L952" s="11"/>
    </row>
    <row r="953" ht="12.75" customHeight="1">
      <c r="J953" s="11"/>
      <c r="K953" s="11"/>
      <c r="L953" s="11"/>
    </row>
    <row r="954" ht="12.75" customHeight="1">
      <c r="J954" s="11"/>
      <c r="K954" s="11"/>
      <c r="L954" s="11"/>
    </row>
    <row r="955" ht="12.75" customHeight="1">
      <c r="J955" s="11"/>
      <c r="K955" s="11"/>
      <c r="L955" s="11"/>
    </row>
    <row r="956" ht="12.75" customHeight="1">
      <c r="J956" s="11"/>
      <c r="K956" s="11"/>
      <c r="L956" s="11"/>
    </row>
    <row r="957" ht="12.75" customHeight="1">
      <c r="J957" s="11"/>
      <c r="K957" s="11"/>
      <c r="L957" s="11"/>
    </row>
    <row r="958" ht="12.75" customHeight="1">
      <c r="J958" s="11"/>
      <c r="K958" s="11"/>
      <c r="L958" s="11"/>
    </row>
    <row r="959" ht="12.75" customHeight="1">
      <c r="J959" s="11"/>
      <c r="K959" s="11"/>
      <c r="L959" s="11"/>
    </row>
    <row r="960" ht="12.75" customHeight="1">
      <c r="J960" s="11"/>
      <c r="K960" s="11"/>
      <c r="L960" s="11"/>
    </row>
    <row r="961" ht="12.75" customHeight="1">
      <c r="J961" s="11"/>
      <c r="K961" s="11"/>
      <c r="L961" s="11"/>
    </row>
    <row r="962" ht="12.75" customHeight="1">
      <c r="J962" s="11"/>
      <c r="K962" s="11"/>
      <c r="L962" s="11"/>
    </row>
    <row r="963" ht="12.75" customHeight="1">
      <c r="J963" s="11"/>
      <c r="K963" s="11"/>
      <c r="L963" s="11"/>
    </row>
    <row r="964" ht="12.75" customHeight="1">
      <c r="J964" s="11"/>
      <c r="K964" s="11"/>
      <c r="L964" s="11"/>
    </row>
    <row r="965" ht="12.75" customHeight="1">
      <c r="J965" s="11"/>
      <c r="K965" s="11"/>
      <c r="L965" s="11"/>
    </row>
    <row r="966" ht="12.75" customHeight="1">
      <c r="J966" s="11"/>
      <c r="K966" s="11"/>
      <c r="L966" s="11"/>
    </row>
    <row r="967" ht="12.75" customHeight="1">
      <c r="J967" s="11"/>
      <c r="K967" s="11"/>
      <c r="L967" s="11"/>
    </row>
    <row r="968" ht="12.75" customHeight="1">
      <c r="J968" s="11"/>
      <c r="K968" s="11"/>
      <c r="L968" s="11"/>
    </row>
    <row r="969" ht="12.75" customHeight="1">
      <c r="J969" s="11"/>
      <c r="K969" s="11"/>
      <c r="L969" s="11"/>
    </row>
    <row r="970" ht="12.75" customHeight="1">
      <c r="J970" s="11"/>
      <c r="K970" s="11"/>
      <c r="L970" s="11"/>
    </row>
    <row r="971" ht="12.75" customHeight="1">
      <c r="J971" s="11"/>
      <c r="K971" s="11"/>
      <c r="L971" s="11"/>
    </row>
    <row r="972" ht="12.75" customHeight="1">
      <c r="J972" s="11"/>
      <c r="K972" s="11"/>
      <c r="L972" s="11"/>
    </row>
    <row r="973" ht="12.75" customHeight="1">
      <c r="J973" s="11"/>
      <c r="K973" s="11"/>
      <c r="L973" s="11"/>
    </row>
    <row r="974" ht="12.75" customHeight="1">
      <c r="J974" s="11"/>
      <c r="K974" s="11"/>
      <c r="L974" s="11"/>
    </row>
    <row r="975" ht="12.75" customHeight="1">
      <c r="J975" s="11"/>
      <c r="K975" s="11"/>
      <c r="L975" s="11"/>
    </row>
    <row r="976" ht="12.75" customHeight="1">
      <c r="J976" s="11"/>
      <c r="K976" s="11"/>
      <c r="L976" s="11"/>
    </row>
    <row r="977" ht="12.75" customHeight="1">
      <c r="J977" s="11"/>
      <c r="K977" s="11"/>
      <c r="L977" s="11"/>
    </row>
    <row r="978" ht="12.75" customHeight="1">
      <c r="J978" s="11"/>
      <c r="K978" s="11"/>
      <c r="L978" s="11"/>
    </row>
    <row r="979" ht="12.75" customHeight="1">
      <c r="J979" s="11"/>
      <c r="K979" s="11"/>
      <c r="L979" s="11"/>
    </row>
    <row r="980" ht="12.75" customHeight="1">
      <c r="J980" s="11"/>
      <c r="K980" s="11"/>
      <c r="L980" s="11"/>
    </row>
    <row r="981" ht="12.75" customHeight="1">
      <c r="J981" s="11"/>
      <c r="K981" s="11"/>
      <c r="L981" s="11"/>
    </row>
    <row r="982" ht="12.75" customHeight="1">
      <c r="J982" s="11"/>
      <c r="K982" s="11"/>
      <c r="L982" s="11"/>
    </row>
    <row r="983" ht="12.75" customHeight="1">
      <c r="J983" s="11"/>
      <c r="K983" s="11"/>
      <c r="L983" s="11"/>
    </row>
    <row r="984" ht="12.75" customHeight="1">
      <c r="J984" s="11"/>
      <c r="K984" s="11"/>
      <c r="L984" s="11"/>
    </row>
    <row r="985" ht="12.75" customHeight="1">
      <c r="J985" s="11"/>
      <c r="K985" s="11"/>
      <c r="L985" s="11"/>
    </row>
    <row r="986" ht="12.75" customHeight="1">
      <c r="J986" s="11"/>
      <c r="K986" s="11"/>
      <c r="L986" s="11"/>
    </row>
    <row r="987" ht="12.75" customHeight="1">
      <c r="J987" s="11"/>
      <c r="K987" s="11"/>
      <c r="L987" s="11"/>
    </row>
    <row r="988" ht="12.75" customHeight="1">
      <c r="J988" s="11"/>
      <c r="K988" s="11"/>
      <c r="L988" s="11"/>
    </row>
    <row r="989" ht="12.75" customHeight="1">
      <c r="J989" s="11"/>
      <c r="K989" s="11"/>
      <c r="L989" s="11"/>
    </row>
    <row r="990" ht="12.75" customHeight="1">
      <c r="J990" s="11"/>
      <c r="K990" s="11"/>
      <c r="L990" s="11"/>
    </row>
    <row r="991" ht="12.75" customHeight="1">
      <c r="J991" s="11"/>
      <c r="K991" s="11"/>
      <c r="L991" s="11"/>
    </row>
    <row r="992" ht="12.75" customHeight="1">
      <c r="J992" s="11"/>
      <c r="K992" s="11"/>
      <c r="L992" s="11"/>
    </row>
    <row r="993" ht="12.75" customHeight="1">
      <c r="J993" s="11"/>
      <c r="K993" s="11"/>
      <c r="L993" s="11"/>
    </row>
    <row r="994" ht="12.75" customHeight="1">
      <c r="J994" s="11"/>
      <c r="K994" s="11"/>
      <c r="L994" s="11"/>
    </row>
    <row r="995" ht="12.75" customHeight="1">
      <c r="J995" s="11"/>
      <c r="K995" s="11"/>
      <c r="L995" s="11"/>
    </row>
    <row r="996" ht="12.75" customHeight="1">
      <c r="J996" s="11"/>
      <c r="K996" s="11"/>
      <c r="L996" s="11"/>
    </row>
    <row r="997" ht="12.75" customHeight="1">
      <c r="J997" s="11"/>
      <c r="K997" s="11"/>
      <c r="L997" s="11"/>
    </row>
    <row r="998" ht="12.75" customHeight="1">
      <c r="J998" s="11"/>
      <c r="K998" s="11"/>
      <c r="L998" s="11"/>
    </row>
    <row r="999" ht="12.75" customHeight="1">
      <c r="J999" s="11"/>
      <c r="K999" s="11"/>
      <c r="L999" s="11"/>
    </row>
    <row r="1000" ht="12.75" customHeight="1">
      <c r="J1000" s="11"/>
      <c r="K1000" s="11"/>
      <c r="L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1.43"/>
    <col customWidth="1" min="3" max="3" width="5.71"/>
    <col customWidth="1" min="4" max="4" width="17.0"/>
    <col customWidth="1" min="5" max="5" width="21.43"/>
    <col customWidth="1" min="6" max="6" width="8.71"/>
    <col customWidth="1" min="7" max="7" width="14.0"/>
    <col customWidth="1" min="8" max="8" width="14.71"/>
    <col customWidth="1" min="9" max="9" width="19.57"/>
    <col customWidth="1" min="10" max="29" width="8.71"/>
  </cols>
  <sheetData>
    <row r="1" ht="51.75" customHeight="1">
      <c r="A1" s="62" t="s">
        <v>6</v>
      </c>
      <c r="B1" s="62" t="s">
        <v>7</v>
      </c>
      <c r="C1" s="63"/>
      <c r="D1" s="63"/>
      <c r="E1" s="63"/>
      <c r="F1" s="64"/>
      <c r="G1" s="62" t="s">
        <v>498</v>
      </c>
      <c r="H1" s="62" t="s">
        <v>499</v>
      </c>
      <c r="I1" s="65" t="s">
        <v>500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 ht="15.0" customHeight="1">
      <c r="A2" s="66" t="s">
        <v>501</v>
      </c>
      <c r="B2" s="53">
        <v>3000.0</v>
      </c>
      <c r="C2" s="67"/>
      <c r="D2" s="67"/>
      <c r="E2" s="67"/>
      <c r="F2" s="64"/>
      <c r="G2" s="68">
        <v>0.0</v>
      </c>
      <c r="H2" s="53">
        <f t="shared" ref="H2:H58" si="1">IF($B$2-(G2/$B$4)&lt;0,0,$B$2-(G2/$B$4))</f>
        <v>3000</v>
      </c>
      <c r="I2" s="53">
        <f t="shared" ref="I2:I58" si="2">$B$3+($B$5*G2) + ($B$6*G2^2)</f>
        <v>500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ht="21.0" customHeight="1">
      <c r="A3" s="66" t="s">
        <v>502</v>
      </c>
      <c r="B3" s="53">
        <v>500.0</v>
      </c>
      <c r="C3" s="67"/>
      <c r="D3" s="67"/>
      <c r="E3" s="67"/>
      <c r="F3" s="64"/>
      <c r="G3" s="68">
        <v>500.0</v>
      </c>
      <c r="H3" s="53">
        <f t="shared" si="1"/>
        <v>2950</v>
      </c>
      <c r="I3" s="53">
        <f t="shared" si="2"/>
        <v>500.525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</row>
    <row r="4" ht="22.5" customHeight="1">
      <c r="A4" s="66" t="s">
        <v>503</v>
      </c>
      <c r="B4" s="53">
        <v>10.0</v>
      </c>
      <c r="C4" s="67"/>
      <c r="D4" s="67"/>
      <c r="E4" s="67"/>
      <c r="F4" s="64"/>
      <c r="G4" s="68">
        <f t="shared" ref="G4:G58" si="3">G3+535</f>
        <v>1035</v>
      </c>
      <c r="H4" s="53">
        <f t="shared" si="1"/>
        <v>2896.5</v>
      </c>
      <c r="I4" s="53">
        <f t="shared" si="2"/>
        <v>501.1421225</v>
      </c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</row>
    <row r="5" ht="24.0" customHeight="1">
      <c r="A5" s="66" t="s">
        <v>504</v>
      </c>
      <c r="B5" s="69">
        <v>0.001</v>
      </c>
      <c r="C5" s="70"/>
      <c r="D5" s="70"/>
      <c r="E5" s="70"/>
      <c r="F5" s="64"/>
      <c r="G5" s="68">
        <f t="shared" si="3"/>
        <v>1570</v>
      </c>
      <c r="H5" s="53">
        <f t="shared" si="1"/>
        <v>2843</v>
      </c>
      <c r="I5" s="53">
        <f t="shared" si="2"/>
        <v>501.81649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</row>
    <row r="6" ht="28.5" customHeight="1">
      <c r="A6" s="66" t="s">
        <v>505</v>
      </c>
      <c r="B6" s="71">
        <v>1.0E-7</v>
      </c>
      <c r="C6" s="72"/>
      <c r="D6" s="72"/>
      <c r="E6" s="72"/>
      <c r="F6" s="64"/>
      <c r="G6" s="68">
        <f t="shared" si="3"/>
        <v>2105</v>
      </c>
      <c r="H6" s="53">
        <f t="shared" si="1"/>
        <v>2789.5</v>
      </c>
      <c r="I6" s="53">
        <f t="shared" si="2"/>
        <v>502.5481025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 ht="12.75" customHeight="1">
      <c r="A7" s="64"/>
      <c r="B7" s="64"/>
      <c r="C7" s="64"/>
      <c r="D7" s="64"/>
      <c r="E7" s="64"/>
      <c r="F7" s="64"/>
      <c r="G7" s="68">
        <f t="shared" si="3"/>
        <v>2640</v>
      </c>
      <c r="H7" s="53">
        <f t="shared" si="1"/>
        <v>2736</v>
      </c>
      <c r="I7" s="53">
        <f t="shared" si="2"/>
        <v>503.33696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</row>
    <row r="8" ht="12.75" customHeight="1">
      <c r="A8" s="64" t="s">
        <v>501</v>
      </c>
      <c r="B8" s="67">
        <v>3000.0</v>
      </c>
      <c r="C8" s="67"/>
      <c r="D8" s="67"/>
      <c r="E8" s="67"/>
      <c r="F8" s="64"/>
      <c r="G8" s="68">
        <f t="shared" si="3"/>
        <v>3175</v>
      </c>
      <c r="H8" s="53">
        <f t="shared" si="1"/>
        <v>2682.5</v>
      </c>
      <c r="I8" s="53">
        <f t="shared" si="2"/>
        <v>504.1830625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 ht="12.75" customHeight="1">
      <c r="A9" s="64" t="s">
        <v>502</v>
      </c>
      <c r="B9" s="67">
        <v>500.0</v>
      </c>
      <c r="C9" s="67"/>
      <c r="D9" s="67"/>
      <c r="E9" s="67"/>
      <c r="F9" s="64"/>
      <c r="G9" s="68">
        <f t="shared" si="3"/>
        <v>3710</v>
      </c>
      <c r="H9" s="53">
        <f t="shared" si="1"/>
        <v>2629</v>
      </c>
      <c r="I9" s="53">
        <f t="shared" si="2"/>
        <v>505.08641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 ht="12.75" customHeight="1">
      <c r="A10" s="64" t="s">
        <v>506</v>
      </c>
      <c r="B10" s="67">
        <v>10.0</v>
      </c>
      <c r="C10" s="67"/>
      <c r="D10" s="67"/>
      <c r="E10" s="67"/>
      <c r="F10" s="64"/>
      <c r="G10" s="68">
        <f t="shared" si="3"/>
        <v>4245</v>
      </c>
      <c r="H10" s="53">
        <f t="shared" si="1"/>
        <v>2575.5</v>
      </c>
      <c r="I10" s="53">
        <f t="shared" si="2"/>
        <v>506.0470025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 ht="33.75" customHeight="1">
      <c r="A11" s="64"/>
      <c r="B11" s="67"/>
      <c r="C11" s="67"/>
      <c r="D11" s="67"/>
      <c r="E11" s="67"/>
      <c r="F11" s="64"/>
      <c r="G11" s="68">
        <f t="shared" si="3"/>
        <v>4780</v>
      </c>
      <c r="H11" s="53">
        <f t="shared" si="1"/>
        <v>2522</v>
      </c>
      <c r="I11" s="53">
        <f t="shared" si="2"/>
        <v>507.06484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 ht="51.75" customHeight="1">
      <c r="A12" s="62" t="s">
        <v>507</v>
      </c>
      <c r="B12" s="53"/>
      <c r="C12" s="67"/>
      <c r="D12" s="64"/>
      <c r="E12" s="64"/>
      <c r="F12" s="64"/>
      <c r="G12" s="68">
        <f t="shared" si="3"/>
        <v>5315</v>
      </c>
      <c r="H12" s="53">
        <f t="shared" si="1"/>
        <v>2468.5</v>
      </c>
      <c r="I12" s="53">
        <f t="shared" si="2"/>
        <v>508.1399225</v>
      </c>
      <c r="J12" s="64"/>
      <c r="K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ht="24.0" customHeight="1">
      <c r="A13" s="68" t="s">
        <v>508</v>
      </c>
      <c r="B13" s="53">
        <v>4166.666666666667</v>
      </c>
      <c r="C13" s="67"/>
      <c r="D13" s="62" t="s">
        <v>509</v>
      </c>
      <c r="E13" s="62" t="s">
        <v>510</v>
      </c>
      <c r="F13" s="64"/>
      <c r="G13" s="68">
        <f t="shared" si="3"/>
        <v>5850</v>
      </c>
      <c r="H13" s="53">
        <f t="shared" si="1"/>
        <v>2415</v>
      </c>
      <c r="I13" s="53">
        <f t="shared" si="2"/>
        <v>509.27225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 ht="24.75" customHeight="1">
      <c r="A14" s="68" t="s">
        <v>511</v>
      </c>
      <c r="B14" s="53">
        <f>B8-B13/B10</f>
        <v>2583.333333</v>
      </c>
      <c r="C14" s="67"/>
      <c r="D14" s="53">
        <v>3125.0</v>
      </c>
      <c r="E14" s="53">
        <v>7.5</v>
      </c>
      <c r="F14" s="64"/>
      <c r="G14" s="68">
        <f t="shared" si="3"/>
        <v>6385</v>
      </c>
      <c r="H14" s="53">
        <f t="shared" si="1"/>
        <v>2361.5</v>
      </c>
      <c r="I14" s="53">
        <f t="shared" si="2"/>
        <v>510.4618225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ht="18.0" customHeight="1">
      <c r="A15" s="68" t="s">
        <v>512</v>
      </c>
      <c r="B15" s="53">
        <f>B3+0.5*B13</f>
        <v>2583.333333</v>
      </c>
      <c r="C15" s="67"/>
      <c r="D15" s="53">
        <v>3125.0</v>
      </c>
      <c r="E15" s="53">
        <v>3000.0</v>
      </c>
      <c r="F15" s="64"/>
      <c r="G15" s="68">
        <f t="shared" si="3"/>
        <v>6920</v>
      </c>
      <c r="H15" s="53">
        <f t="shared" si="1"/>
        <v>2308</v>
      </c>
      <c r="I15" s="53">
        <f t="shared" si="2"/>
        <v>511.70864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ht="24.0" customHeight="1">
      <c r="A16" s="68" t="s">
        <v>513</v>
      </c>
      <c r="B16" s="53">
        <f>B14-B15</f>
        <v>0</v>
      </c>
      <c r="C16" s="67"/>
      <c r="D16" s="67"/>
      <c r="E16" s="67"/>
      <c r="F16" s="64"/>
      <c r="G16" s="68">
        <f t="shared" si="3"/>
        <v>7455</v>
      </c>
      <c r="H16" s="53">
        <f t="shared" si="1"/>
        <v>2254.5</v>
      </c>
      <c r="I16" s="53">
        <f t="shared" si="2"/>
        <v>513.0127025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ht="12.75" customHeight="1">
      <c r="A17" s="64"/>
      <c r="B17" s="64"/>
      <c r="C17" s="64"/>
      <c r="D17" s="67"/>
      <c r="E17" s="67"/>
      <c r="F17" s="64"/>
      <c r="G17" s="68">
        <f t="shared" si="3"/>
        <v>7990</v>
      </c>
      <c r="H17" s="53">
        <f t="shared" si="1"/>
        <v>2201</v>
      </c>
      <c r="I17" s="53">
        <f t="shared" si="2"/>
        <v>514.37401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ht="42.0" customHeight="1">
      <c r="A18" s="62" t="s">
        <v>514</v>
      </c>
      <c r="B18" s="68"/>
      <c r="C18" s="63"/>
      <c r="D18" s="64"/>
      <c r="E18" s="64"/>
      <c r="F18" s="64"/>
      <c r="G18" s="68">
        <f t="shared" si="3"/>
        <v>8525</v>
      </c>
      <c r="H18" s="53">
        <f t="shared" si="1"/>
        <v>2147.5</v>
      </c>
      <c r="I18" s="53">
        <f t="shared" si="2"/>
        <v>515.7925625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ht="19.5" customHeight="1">
      <c r="A19" s="68" t="s">
        <v>508</v>
      </c>
      <c r="B19" s="53">
        <v>3125.0</v>
      </c>
      <c r="C19" s="67"/>
      <c r="D19" s="73"/>
      <c r="E19" s="73"/>
      <c r="F19" s="64"/>
      <c r="G19" s="68">
        <f t="shared" si="3"/>
        <v>9060</v>
      </c>
      <c r="H19" s="53">
        <f t="shared" si="1"/>
        <v>2094</v>
      </c>
      <c r="I19" s="53">
        <f t="shared" si="2"/>
        <v>517.26836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 ht="20.25" customHeight="1">
      <c r="A20" s="68" t="s">
        <v>511</v>
      </c>
      <c r="B20" s="53">
        <f>B8-B19/B10</f>
        <v>2687.5</v>
      </c>
      <c r="C20" s="67"/>
      <c r="D20" s="73"/>
      <c r="E20" s="73"/>
      <c r="F20" s="64"/>
      <c r="G20" s="68">
        <f t="shared" si="3"/>
        <v>9595</v>
      </c>
      <c r="H20" s="53">
        <f t="shared" si="1"/>
        <v>2040.5</v>
      </c>
      <c r="I20" s="53">
        <f t="shared" si="2"/>
        <v>518.8014025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ht="16.5" customHeight="1">
      <c r="A21" s="68" t="s">
        <v>515</v>
      </c>
      <c r="B21" s="53">
        <f>B9+0.7*B19</f>
        <v>2687.5</v>
      </c>
      <c r="C21" s="67"/>
      <c r="D21" s="64"/>
      <c r="E21" s="64"/>
      <c r="F21" s="64"/>
      <c r="G21" s="68">
        <f t="shared" si="3"/>
        <v>10130</v>
      </c>
      <c r="H21" s="53">
        <f t="shared" si="1"/>
        <v>1987</v>
      </c>
      <c r="I21" s="53">
        <f t="shared" si="2"/>
        <v>520.39169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ht="18.75" customHeight="1">
      <c r="A22" s="68" t="s">
        <v>513</v>
      </c>
      <c r="B22" s="53">
        <f>B20-B21</f>
        <v>0</v>
      </c>
      <c r="C22" s="67"/>
      <c r="F22" s="64"/>
      <c r="G22" s="68">
        <f t="shared" si="3"/>
        <v>10665</v>
      </c>
      <c r="H22" s="53">
        <f t="shared" si="1"/>
        <v>1933.5</v>
      </c>
      <c r="I22" s="53">
        <f t="shared" si="2"/>
        <v>522.0392225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2.75" customHeight="1">
      <c r="A23" s="64"/>
      <c r="B23" s="64"/>
      <c r="C23" s="64"/>
      <c r="F23" s="64"/>
      <c r="G23" s="68">
        <f t="shared" si="3"/>
        <v>11200</v>
      </c>
      <c r="H23" s="53">
        <f t="shared" si="1"/>
        <v>1880</v>
      </c>
      <c r="I23" s="53">
        <f t="shared" si="2"/>
        <v>523.744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ht="25.5" customHeight="1">
      <c r="A24" s="74" t="s">
        <v>516</v>
      </c>
      <c r="C24" s="73"/>
      <c r="D24" s="64"/>
      <c r="E24" s="64"/>
      <c r="F24" s="64"/>
      <c r="G24" s="68">
        <f t="shared" si="3"/>
        <v>11735</v>
      </c>
      <c r="H24" s="53">
        <f t="shared" si="1"/>
        <v>1826.5</v>
      </c>
      <c r="I24" s="53">
        <f t="shared" si="2"/>
        <v>525.5060225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39.0" customHeight="1">
      <c r="A25" s="74" t="s">
        <v>517</v>
      </c>
      <c r="C25" s="73"/>
      <c r="F25" s="64"/>
      <c r="G25" s="68">
        <f t="shared" si="3"/>
        <v>12270</v>
      </c>
      <c r="H25" s="53">
        <f t="shared" si="1"/>
        <v>1773</v>
      </c>
      <c r="I25" s="53">
        <f t="shared" si="2"/>
        <v>527.32529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2.75" customHeight="1">
      <c r="A26" s="64"/>
      <c r="B26" s="64"/>
      <c r="C26" s="64"/>
      <c r="D26" s="64"/>
      <c r="E26" s="64"/>
      <c r="F26" s="64"/>
      <c r="G26" s="68">
        <f t="shared" si="3"/>
        <v>12805</v>
      </c>
      <c r="H26" s="53">
        <f t="shared" si="1"/>
        <v>1719.5</v>
      </c>
      <c r="I26" s="53">
        <f t="shared" si="2"/>
        <v>529.2018025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ht="18.0" customHeight="1">
      <c r="A27" s="75" t="s">
        <v>518</v>
      </c>
      <c r="D27" s="64"/>
      <c r="E27" s="64"/>
      <c r="F27" s="64"/>
      <c r="G27" s="68">
        <f t="shared" si="3"/>
        <v>13340</v>
      </c>
      <c r="H27" s="53">
        <f t="shared" si="1"/>
        <v>1666</v>
      </c>
      <c r="I27" s="53">
        <f t="shared" si="2"/>
        <v>531.13556</v>
      </c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ht="29.25" customHeight="1">
      <c r="A28" s="76" t="s">
        <v>519</v>
      </c>
      <c r="D28" s="64"/>
      <c r="E28" s="64"/>
      <c r="F28" s="77"/>
      <c r="G28" s="68">
        <f t="shared" si="3"/>
        <v>13875</v>
      </c>
      <c r="H28" s="53">
        <f t="shared" si="1"/>
        <v>1612.5</v>
      </c>
      <c r="I28" s="53">
        <f t="shared" si="2"/>
        <v>533.1265625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ht="21.0" customHeight="1">
      <c r="A29" s="67">
        <f>(1-(B19/B13))*100</f>
        <v>25</v>
      </c>
      <c r="B29" s="64"/>
      <c r="C29" s="64"/>
      <c r="D29" s="64"/>
      <c r="E29" s="64"/>
      <c r="F29" s="64"/>
      <c r="G29" s="68">
        <f t="shared" si="3"/>
        <v>14410</v>
      </c>
      <c r="H29" s="53">
        <f t="shared" si="1"/>
        <v>1559</v>
      </c>
      <c r="I29" s="53">
        <f t="shared" si="2"/>
        <v>535.17481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27.0" customHeight="1">
      <c r="A30" s="78" t="s">
        <v>520</v>
      </c>
      <c r="D30" s="64"/>
      <c r="E30" s="64"/>
      <c r="F30" s="64"/>
      <c r="G30" s="68">
        <f t="shared" si="3"/>
        <v>14945</v>
      </c>
      <c r="H30" s="53">
        <f t="shared" si="1"/>
        <v>1505.5</v>
      </c>
      <c r="I30" s="53">
        <f t="shared" si="2"/>
        <v>537.2803025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ht="12.75" customHeight="1">
      <c r="A31" s="64"/>
      <c r="B31" s="64"/>
      <c r="C31" s="64"/>
      <c r="D31" s="64"/>
      <c r="E31" s="64"/>
      <c r="F31" s="64"/>
      <c r="G31" s="68">
        <f t="shared" si="3"/>
        <v>15480</v>
      </c>
      <c r="H31" s="53">
        <f t="shared" si="1"/>
        <v>1452</v>
      </c>
      <c r="I31" s="53">
        <f t="shared" si="2"/>
        <v>539.44304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ht="12.75" customHeight="1">
      <c r="A32" s="64"/>
      <c r="B32" s="64"/>
      <c r="C32" s="64"/>
      <c r="D32" s="64"/>
      <c r="E32" s="64"/>
      <c r="F32" s="64"/>
      <c r="G32" s="68">
        <f t="shared" si="3"/>
        <v>16015</v>
      </c>
      <c r="H32" s="53">
        <f t="shared" si="1"/>
        <v>1398.5</v>
      </c>
      <c r="I32" s="53">
        <f t="shared" si="2"/>
        <v>541.6630225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ht="12.75" customHeight="1">
      <c r="A33" s="64"/>
      <c r="B33" s="64"/>
      <c r="C33" s="64"/>
      <c r="D33" s="64"/>
      <c r="E33" s="64"/>
      <c r="F33" s="64"/>
      <c r="G33" s="68">
        <f t="shared" si="3"/>
        <v>16550</v>
      </c>
      <c r="H33" s="53">
        <f t="shared" si="1"/>
        <v>1345</v>
      </c>
      <c r="I33" s="53">
        <f t="shared" si="2"/>
        <v>543.94025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ht="12.75" customHeight="1">
      <c r="A34" s="64"/>
      <c r="B34" s="64"/>
      <c r="C34" s="64"/>
      <c r="D34" s="64"/>
      <c r="E34" s="64"/>
      <c r="F34" s="64"/>
      <c r="G34" s="68">
        <f t="shared" si="3"/>
        <v>17085</v>
      </c>
      <c r="H34" s="53">
        <f t="shared" si="1"/>
        <v>1291.5</v>
      </c>
      <c r="I34" s="53">
        <f t="shared" si="2"/>
        <v>546.2747225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ht="12.75" customHeight="1">
      <c r="A35" s="64"/>
      <c r="B35" s="64"/>
      <c r="C35" s="64"/>
      <c r="D35" s="64"/>
      <c r="E35" s="64"/>
      <c r="F35" s="64"/>
      <c r="G35" s="68">
        <f t="shared" si="3"/>
        <v>17620</v>
      </c>
      <c r="H35" s="53">
        <f t="shared" si="1"/>
        <v>1238</v>
      </c>
      <c r="I35" s="53">
        <f t="shared" si="2"/>
        <v>548.66644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 ht="12.75" customHeight="1">
      <c r="A36" s="64"/>
      <c r="B36" s="64"/>
      <c r="C36" s="64"/>
      <c r="D36" s="64"/>
      <c r="E36" s="64"/>
      <c r="F36" s="64"/>
      <c r="G36" s="68">
        <f t="shared" si="3"/>
        <v>18155</v>
      </c>
      <c r="H36" s="53">
        <f t="shared" si="1"/>
        <v>1184.5</v>
      </c>
      <c r="I36" s="53">
        <f t="shared" si="2"/>
        <v>551.1154025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 ht="12.75" customHeight="1">
      <c r="A37" s="64"/>
      <c r="B37" s="64"/>
      <c r="C37" s="64"/>
      <c r="D37" s="64"/>
      <c r="E37" s="64"/>
      <c r="F37" s="64"/>
      <c r="G37" s="68">
        <f t="shared" si="3"/>
        <v>18690</v>
      </c>
      <c r="H37" s="53">
        <f t="shared" si="1"/>
        <v>1131</v>
      </c>
      <c r="I37" s="53">
        <f t="shared" si="2"/>
        <v>553.62161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 ht="12.75" customHeight="1">
      <c r="A38" s="64"/>
      <c r="B38" s="64"/>
      <c r="C38" s="64"/>
      <c r="D38" s="64"/>
      <c r="E38" s="64"/>
      <c r="F38" s="64"/>
      <c r="G38" s="68">
        <f t="shared" si="3"/>
        <v>19225</v>
      </c>
      <c r="H38" s="53">
        <f t="shared" si="1"/>
        <v>1077.5</v>
      </c>
      <c r="I38" s="53">
        <f t="shared" si="2"/>
        <v>556.1850625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 ht="12.75" customHeight="1">
      <c r="A39" s="64"/>
      <c r="B39" s="64"/>
      <c r="C39" s="64"/>
      <c r="D39" s="64"/>
      <c r="E39" s="64"/>
      <c r="F39" s="64"/>
      <c r="G39" s="68">
        <f t="shared" si="3"/>
        <v>19760</v>
      </c>
      <c r="H39" s="53">
        <f t="shared" si="1"/>
        <v>1024</v>
      </c>
      <c r="I39" s="53">
        <f t="shared" si="2"/>
        <v>558.80576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ht="12.75" customHeight="1">
      <c r="A40" s="64"/>
      <c r="B40" s="64"/>
      <c r="C40" s="64"/>
      <c r="D40" s="64"/>
      <c r="E40" s="64"/>
      <c r="F40" s="64"/>
      <c r="G40" s="68">
        <f t="shared" si="3"/>
        <v>20295</v>
      </c>
      <c r="H40" s="53">
        <f t="shared" si="1"/>
        <v>970.5</v>
      </c>
      <c r="I40" s="53">
        <f t="shared" si="2"/>
        <v>561.4837025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 ht="12.75" customHeight="1">
      <c r="A41" s="64"/>
      <c r="B41" s="64"/>
      <c r="C41" s="64"/>
      <c r="D41" s="64"/>
      <c r="E41" s="64"/>
      <c r="F41" s="64"/>
      <c r="G41" s="68">
        <f t="shared" si="3"/>
        <v>20830</v>
      </c>
      <c r="H41" s="53">
        <f t="shared" si="1"/>
        <v>917</v>
      </c>
      <c r="I41" s="53">
        <f t="shared" si="2"/>
        <v>564.21889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ht="12.75" customHeight="1">
      <c r="A42" s="64"/>
      <c r="B42" s="64"/>
      <c r="C42" s="64"/>
      <c r="D42" s="64"/>
      <c r="E42" s="64"/>
      <c r="F42" s="64"/>
      <c r="G42" s="68">
        <f t="shared" si="3"/>
        <v>21365</v>
      </c>
      <c r="H42" s="53">
        <f t="shared" si="1"/>
        <v>863.5</v>
      </c>
      <c r="I42" s="53">
        <f t="shared" si="2"/>
        <v>567.0113225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 ht="12.75" customHeight="1">
      <c r="A43" s="64"/>
      <c r="B43" s="64"/>
      <c r="C43" s="64"/>
      <c r="D43" s="64"/>
      <c r="E43" s="64"/>
      <c r="F43" s="64"/>
      <c r="G43" s="68">
        <f t="shared" si="3"/>
        <v>21900</v>
      </c>
      <c r="H43" s="53">
        <f t="shared" si="1"/>
        <v>810</v>
      </c>
      <c r="I43" s="53">
        <f t="shared" si="2"/>
        <v>569.861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 ht="12.75" customHeight="1">
      <c r="A44" s="64"/>
      <c r="B44" s="64"/>
      <c r="C44" s="64"/>
      <c r="D44" s="64"/>
      <c r="E44" s="64"/>
      <c r="F44" s="64"/>
      <c r="G44" s="68">
        <f t="shared" si="3"/>
        <v>22435</v>
      </c>
      <c r="H44" s="53">
        <f t="shared" si="1"/>
        <v>756.5</v>
      </c>
      <c r="I44" s="53">
        <f t="shared" si="2"/>
        <v>572.7679225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 ht="12.75" customHeight="1">
      <c r="A45" s="64"/>
      <c r="B45" s="64"/>
      <c r="C45" s="64"/>
      <c r="D45" s="64"/>
      <c r="E45" s="64"/>
      <c r="F45" s="64"/>
      <c r="G45" s="68">
        <f t="shared" si="3"/>
        <v>22970</v>
      </c>
      <c r="H45" s="53">
        <f t="shared" si="1"/>
        <v>703</v>
      </c>
      <c r="I45" s="53">
        <f t="shared" si="2"/>
        <v>575.73209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ht="12.75" customHeight="1">
      <c r="A46" s="64"/>
      <c r="B46" s="64"/>
      <c r="C46" s="64"/>
      <c r="D46" s="64"/>
      <c r="E46" s="64"/>
      <c r="F46" s="64"/>
      <c r="G46" s="68">
        <f t="shared" si="3"/>
        <v>23505</v>
      </c>
      <c r="H46" s="53">
        <f t="shared" si="1"/>
        <v>649.5</v>
      </c>
      <c r="I46" s="53">
        <f t="shared" si="2"/>
        <v>578.7535025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 ht="12.75" customHeight="1">
      <c r="A47" s="64"/>
      <c r="B47" s="64"/>
      <c r="C47" s="64"/>
      <c r="D47" s="64"/>
      <c r="E47" s="64"/>
      <c r="F47" s="64"/>
      <c r="G47" s="68">
        <f t="shared" si="3"/>
        <v>24040</v>
      </c>
      <c r="H47" s="53">
        <f t="shared" si="1"/>
        <v>596</v>
      </c>
      <c r="I47" s="53">
        <f t="shared" si="2"/>
        <v>581.83216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ht="12.75" customHeight="1">
      <c r="A48" s="64"/>
      <c r="B48" s="64"/>
      <c r="C48" s="64"/>
      <c r="D48" s="64"/>
      <c r="E48" s="64"/>
      <c r="F48" s="64"/>
      <c r="G48" s="68">
        <f t="shared" si="3"/>
        <v>24575</v>
      </c>
      <c r="H48" s="53">
        <f t="shared" si="1"/>
        <v>542.5</v>
      </c>
      <c r="I48" s="53">
        <f t="shared" si="2"/>
        <v>584.9680625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ht="12.75" customHeight="1">
      <c r="A49" s="64"/>
      <c r="B49" s="64"/>
      <c r="C49" s="64"/>
      <c r="D49" s="64"/>
      <c r="E49" s="64"/>
      <c r="F49" s="64"/>
      <c r="G49" s="68">
        <f t="shared" si="3"/>
        <v>25110</v>
      </c>
      <c r="H49" s="53">
        <f t="shared" si="1"/>
        <v>489</v>
      </c>
      <c r="I49" s="53">
        <f t="shared" si="2"/>
        <v>588.16121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 ht="12.75" customHeight="1">
      <c r="A50" s="64"/>
      <c r="B50" s="64"/>
      <c r="C50" s="64"/>
      <c r="D50" s="64"/>
      <c r="E50" s="64"/>
      <c r="F50" s="64"/>
      <c r="G50" s="68">
        <f t="shared" si="3"/>
        <v>25645</v>
      </c>
      <c r="H50" s="53">
        <f t="shared" si="1"/>
        <v>435.5</v>
      </c>
      <c r="I50" s="53">
        <f t="shared" si="2"/>
        <v>591.4116025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ht="12.75" customHeight="1">
      <c r="A51" s="64"/>
      <c r="B51" s="64"/>
      <c r="C51" s="64"/>
      <c r="D51" s="64"/>
      <c r="E51" s="64"/>
      <c r="F51" s="64"/>
      <c r="G51" s="68">
        <f t="shared" si="3"/>
        <v>26180</v>
      </c>
      <c r="H51" s="53">
        <f t="shared" si="1"/>
        <v>382</v>
      </c>
      <c r="I51" s="53">
        <f t="shared" si="2"/>
        <v>594.71924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ht="12.75" customHeight="1">
      <c r="A52" s="64"/>
      <c r="B52" s="64"/>
      <c r="C52" s="64"/>
      <c r="D52" s="64"/>
      <c r="E52" s="64"/>
      <c r="F52" s="64"/>
      <c r="G52" s="68">
        <f t="shared" si="3"/>
        <v>26715</v>
      </c>
      <c r="H52" s="53">
        <f t="shared" si="1"/>
        <v>328.5</v>
      </c>
      <c r="I52" s="53">
        <f t="shared" si="2"/>
        <v>598.0841225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 ht="12.75" customHeight="1">
      <c r="A53" s="64"/>
      <c r="B53" s="64"/>
      <c r="C53" s="64"/>
      <c r="D53" s="64"/>
      <c r="E53" s="64"/>
      <c r="F53" s="64"/>
      <c r="G53" s="68">
        <f t="shared" si="3"/>
        <v>27250</v>
      </c>
      <c r="H53" s="53">
        <f t="shared" si="1"/>
        <v>275</v>
      </c>
      <c r="I53" s="53">
        <f t="shared" si="2"/>
        <v>601.50625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 ht="12.75" customHeight="1">
      <c r="A54" s="64"/>
      <c r="B54" s="64"/>
      <c r="C54" s="64"/>
      <c r="D54" s="64"/>
      <c r="E54" s="64"/>
      <c r="F54" s="64"/>
      <c r="G54" s="68">
        <f t="shared" si="3"/>
        <v>27785</v>
      </c>
      <c r="H54" s="53">
        <f t="shared" si="1"/>
        <v>221.5</v>
      </c>
      <c r="I54" s="53">
        <f t="shared" si="2"/>
        <v>604.9856225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 ht="12.75" customHeight="1">
      <c r="A55" s="64"/>
      <c r="B55" s="64"/>
      <c r="C55" s="64"/>
      <c r="D55" s="64"/>
      <c r="E55" s="64"/>
      <c r="F55" s="64"/>
      <c r="G55" s="68">
        <f t="shared" si="3"/>
        <v>28320</v>
      </c>
      <c r="H55" s="53">
        <f t="shared" si="1"/>
        <v>168</v>
      </c>
      <c r="I55" s="53">
        <f t="shared" si="2"/>
        <v>608.52224</v>
      </c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 ht="12.75" customHeight="1">
      <c r="A56" s="64"/>
      <c r="B56" s="64"/>
      <c r="C56" s="64"/>
      <c r="D56" s="64"/>
      <c r="E56" s="64"/>
      <c r="F56" s="64"/>
      <c r="G56" s="68">
        <f t="shared" si="3"/>
        <v>28855</v>
      </c>
      <c r="H56" s="53">
        <f t="shared" si="1"/>
        <v>114.5</v>
      </c>
      <c r="I56" s="53">
        <f t="shared" si="2"/>
        <v>612.1161025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</row>
    <row r="57" ht="12.75" customHeight="1">
      <c r="A57" s="64"/>
      <c r="B57" s="64"/>
      <c r="C57" s="64"/>
      <c r="D57" s="64"/>
      <c r="E57" s="64"/>
      <c r="F57" s="64"/>
      <c r="G57" s="68">
        <f t="shared" si="3"/>
        <v>29390</v>
      </c>
      <c r="H57" s="53">
        <f t="shared" si="1"/>
        <v>61</v>
      </c>
      <c r="I57" s="53">
        <f t="shared" si="2"/>
        <v>615.76721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 ht="12.75" customHeight="1">
      <c r="A58" s="64"/>
      <c r="B58" s="64"/>
      <c r="C58" s="64"/>
      <c r="D58" s="64"/>
      <c r="E58" s="64"/>
      <c r="F58" s="64"/>
      <c r="G58" s="68">
        <f t="shared" si="3"/>
        <v>29925</v>
      </c>
      <c r="H58" s="53">
        <f t="shared" si="1"/>
        <v>7.5</v>
      </c>
      <c r="I58" s="53">
        <f t="shared" si="2"/>
        <v>619.4755625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 ht="12.75" customHeight="1">
      <c r="A59" s="64"/>
      <c r="B59" s="64"/>
      <c r="C59" s="64"/>
      <c r="D59" s="64"/>
      <c r="E59" s="64"/>
      <c r="F59" s="64"/>
      <c r="G59" s="64"/>
      <c r="H59" s="64"/>
      <c r="I59" s="67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 ht="12.75" customHeight="1">
      <c r="A60" s="64"/>
      <c r="B60" s="64"/>
      <c r="C60" s="64"/>
      <c r="D60" s="64"/>
      <c r="E60" s="64"/>
      <c r="F60" s="64"/>
      <c r="G60" s="64"/>
      <c r="H60" s="64"/>
      <c r="I60" s="67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 ht="12.75" customHeight="1">
      <c r="A61" s="64"/>
      <c r="B61" s="64"/>
      <c r="C61" s="64"/>
      <c r="D61" s="64"/>
      <c r="E61" s="64"/>
      <c r="F61" s="64"/>
      <c r="G61" s="64"/>
      <c r="H61" s="64"/>
      <c r="I61" s="67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</row>
    <row r="62" ht="12.75" customHeight="1">
      <c r="A62" s="64"/>
      <c r="B62" s="64"/>
      <c r="C62" s="64"/>
      <c r="D62" s="64"/>
      <c r="E62" s="64"/>
      <c r="F62" s="64"/>
      <c r="G62" s="64"/>
      <c r="H62" s="64"/>
      <c r="I62" s="67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</row>
    <row r="63" ht="12.75" customHeight="1">
      <c r="A63" s="64"/>
      <c r="B63" s="64"/>
      <c r="C63" s="64"/>
      <c r="D63" s="64"/>
      <c r="E63" s="64"/>
      <c r="F63" s="64"/>
      <c r="G63" s="64"/>
      <c r="H63" s="64"/>
      <c r="I63" s="67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</row>
    <row r="64" ht="12.75" customHeight="1">
      <c r="A64" s="64"/>
      <c r="B64" s="64"/>
      <c r="C64" s="64"/>
      <c r="D64" s="64"/>
      <c r="E64" s="64"/>
      <c r="F64" s="64"/>
      <c r="G64" s="64"/>
      <c r="H64" s="64"/>
      <c r="I64" s="67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</row>
    <row r="65" ht="12.75" customHeight="1">
      <c r="A65" s="64"/>
      <c r="B65" s="64"/>
      <c r="C65" s="64"/>
      <c r="D65" s="64"/>
      <c r="E65" s="64"/>
      <c r="F65" s="64"/>
      <c r="G65" s="64"/>
      <c r="H65" s="64"/>
      <c r="I65" s="67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</row>
    <row r="66" ht="12.75" customHeight="1">
      <c r="A66" s="64"/>
      <c r="B66" s="64"/>
      <c r="C66" s="64"/>
      <c r="D66" s="64"/>
      <c r="E66" s="64"/>
      <c r="F66" s="64"/>
      <c r="G66" s="64"/>
      <c r="H66" s="64"/>
      <c r="I66" s="67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</row>
    <row r="67" ht="12.75" customHeight="1">
      <c r="A67" s="64"/>
      <c r="B67" s="64"/>
      <c r="C67" s="64"/>
      <c r="D67" s="64"/>
      <c r="E67" s="64"/>
      <c r="F67" s="64"/>
      <c r="G67" s="64"/>
      <c r="H67" s="64"/>
      <c r="I67" s="67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</row>
    <row r="68" ht="12.75" customHeight="1">
      <c r="A68" s="64"/>
      <c r="B68" s="64"/>
      <c r="C68" s="64"/>
      <c r="D68" s="64"/>
      <c r="E68" s="64"/>
      <c r="F68" s="64"/>
      <c r="G68" s="64"/>
      <c r="H68" s="64"/>
      <c r="I68" s="67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</row>
    <row r="69" ht="12.75" customHeight="1">
      <c r="A69" s="64"/>
      <c r="B69" s="64"/>
      <c r="C69" s="64"/>
      <c r="D69" s="64"/>
      <c r="E69" s="64"/>
      <c r="F69" s="64"/>
      <c r="G69" s="64"/>
      <c r="H69" s="64"/>
      <c r="I69" s="6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</row>
    <row r="70" ht="12.75" customHeight="1">
      <c r="A70" s="64"/>
      <c r="B70" s="64"/>
      <c r="C70" s="64"/>
      <c r="D70" s="64"/>
      <c r="E70" s="64"/>
      <c r="F70" s="64"/>
      <c r="G70" s="64"/>
      <c r="H70" s="64"/>
      <c r="I70" s="6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</row>
    <row r="71" ht="12.75" customHeight="1">
      <c r="A71" s="64"/>
      <c r="B71" s="64"/>
      <c r="C71" s="64"/>
      <c r="D71" s="64"/>
      <c r="E71" s="64"/>
      <c r="F71" s="64"/>
      <c r="G71" s="64"/>
      <c r="H71" s="64"/>
      <c r="I71" s="6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</row>
    <row r="72" ht="12.75" customHeight="1">
      <c r="A72" s="64"/>
      <c r="B72" s="64"/>
      <c r="C72" s="64"/>
      <c r="D72" s="64"/>
      <c r="E72" s="64"/>
      <c r="F72" s="64"/>
      <c r="G72" s="64"/>
      <c r="H72" s="64"/>
      <c r="I72" s="6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</row>
    <row r="73" ht="12.75" customHeight="1">
      <c r="A73" s="64"/>
      <c r="B73" s="64"/>
      <c r="C73" s="64"/>
      <c r="D73" s="64"/>
      <c r="E73" s="64"/>
      <c r="F73" s="64"/>
      <c r="G73" s="64"/>
      <c r="H73" s="64"/>
      <c r="I73" s="67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</row>
    <row r="74" ht="12.75" customHeight="1">
      <c r="A74" s="64"/>
      <c r="B74" s="64"/>
      <c r="C74" s="64"/>
      <c r="D74" s="64"/>
      <c r="E74" s="64"/>
      <c r="F74" s="64"/>
      <c r="G74" s="64"/>
      <c r="H74" s="64"/>
      <c r="I74" s="67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</row>
    <row r="75" ht="12.75" customHeight="1">
      <c r="A75" s="64"/>
      <c r="B75" s="64"/>
      <c r="C75" s="64"/>
      <c r="D75" s="64"/>
      <c r="E75" s="64"/>
      <c r="F75" s="64"/>
      <c r="G75" s="64"/>
      <c r="H75" s="64"/>
      <c r="I75" s="67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</row>
    <row r="76" ht="12.75" customHeight="1">
      <c r="A76" s="64"/>
      <c r="B76" s="64"/>
      <c r="C76" s="64"/>
      <c r="D76" s="64"/>
      <c r="E76" s="64"/>
      <c r="F76" s="64"/>
      <c r="G76" s="64"/>
      <c r="H76" s="64"/>
      <c r="I76" s="67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</row>
    <row r="77" ht="12.75" customHeight="1">
      <c r="A77" s="64"/>
      <c r="B77" s="64"/>
      <c r="C77" s="64"/>
      <c r="D77" s="64"/>
      <c r="E77" s="64"/>
      <c r="F77" s="64"/>
      <c r="G77" s="64"/>
      <c r="H77" s="64"/>
      <c r="I77" s="67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</row>
    <row r="78" ht="12.75" customHeight="1">
      <c r="A78" s="64"/>
      <c r="B78" s="64"/>
      <c r="C78" s="64"/>
      <c r="D78" s="64"/>
      <c r="E78" s="64"/>
      <c r="F78" s="64"/>
      <c r="G78" s="64"/>
      <c r="H78" s="64"/>
      <c r="I78" s="67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</row>
    <row r="79" ht="12.75" customHeight="1">
      <c r="A79" s="64"/>
      <c r="B79" s="64"/>
      <c r="C79" s="64"/>
      <c r="D79" s="64"/>
      <c r="E79" s="64"/>
      <c r="F79" s="64"/>
      <c r="G79" s="64"/>
      <c r="H79" s="64"/>
      <c r="I79" s="67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</row>
    <row r="80" ht="12.75" customHeight="1">
      <c r="A80" s="64"/>
      <c r="B80" s="64"/>
      <c r="C80" s="64"/>
      <c r="D80" s="64"/>
      <c r="E80" s="64"/>
      <c r="F80" s="64"/>
      <c r="G80" s="64"/>
      <c r="H80" s="64"/>
      <c r="I80" s="67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</row>
    <row r="81" ht="12.75" customHeight="1">
      <c r="A81" s="64"/>
      <c r="B81" s="64"/>
      <c r="C81" s="64"/>
      <c r="D81" s="64"/>
      <c r="E81" s="64"/>
      <c r="F81" s="64"/>
      <c r="G81" s="64"/>
      <c r="H81" s="64"/>
      <c r="I81" s="67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</row>
    <row r="82" ht="12.75" customHeight="1">
      <c r="A82" s="64"/>
      <c r="B82" s="64"/>
      <c r="C82" s="64"/>
      <c r="D82" s="64"/>
      <c r="E82" s="64"/>
      <c r="F82" s="64"/>
      <c r="G82" s="64"/>
      <c r="H82" s="64"/>
      <c r="I82" s="67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</row>
    <row r="83" ht="12.75" customHeight="1">
      <c r="A83" s="64"/>
      <c r="B83" s="64"/>
      <c r="C83" s="64"/>
      <c r="D83" s="64"/>
      <c r="E83" s="64"/>
      <c r="F83" s="64"/>
      <c r="G83" s="64"/>
      <c r="H83" s="64"/>
      <c r="I83" s="6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</row>
    <row r="84" ht="12.75" customHeight="1">
      <c r="A84" s="64"/>
      <c r="B84" s="64"/>
      <c r="C84" s="64"/>
      <c r="D84" s="64"/>
      <c r="E84" s="64"/>
      <c r="F84" s="64"/>
      <c r="G84" s="64"/>
      <c r="H84" s="64"/>
      <c r="I84" s="6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</row>
    <row r="85" ht="12.75" customHeight="1">
      <c r="A85" s="64"/>
      <c r="B85" s="64"/>
      <c r="C85" s="64"/>
      <c r="D85" s="64"/>
      <c r="E85" s="64"/>
      <c r="F85" s="64"/>
      <c r="G85" s="64"/>
      <c r="H85" s="64"/>
      <c r="I85" s="6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 ht="12.75" customHeight="1">
      <c r="A86" s="64"/>
      <c r="B86" s="64"/>
      <c r="C86" s="64"/>
      <c r="D86" s="64"/>
      <c r="E86" s="64"/>
      <c r="F86" s="64"/>
      <c r="G86" s="64"/>
      <c r="H86" s="64"/>
      <c r="I86" s="6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 ht="12.75" customHeight="1">
      <c r="A87" s="64"/>
      <c r="B87" s="64"/>
      <c r="C87" s="64"/>
      <c r="D87" s="64"/>
      <c r="E87" s="64"/>
      <c r="F87" s="64"/>
      <c r="G87" s="64"/>
      <c r="H87" s="64"/>
      <c r="I87" s="6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</row>
    <row r="88" ht="12.75" customHeight="1">
      <c r="A88" s="64"/>
      <c r="B88" s="64"/>
      <c r="C88" s="64"/>
      <c r="D88" s="64"/>
      <c r="E88" s="64"/>
      <c r="F88" s="64"/>
      <c r="G88" s="64"/>
      <c r="H88" s="64"/>
      <c r="I88" s="6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</row>
    <row r="89" ht="12.75" customHeight="1">
      <c r="A89" s="64"/>
      <c r="B89" s="64"/>
      <c r="C89" s="64"/>
      <c r="D89" s="64"/>
      <c r="E89" s="64"/>
      <c r="F89" s="64"/>
      <c r="G89" s="64"/>
      <c r="H89" s="64"/>
      <c r="I89" s="6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</row>
    <row r="90" ht="12.75" customHeight="1">
      <c r="A90" s="64"/>
      <c r="B90" s="64"/>
      <c r="C90" s="64"/>
      <c r="D90" s="64"/>
      <c r="E90" s="64"/>
      <c r="F90" s="64"/>
      <c r="G90" s="64"/>
      <c r="H90" s="64"/>
      <c r="I90" s="6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</row>
    <row r="91" ht="12.75" customHeight="1">
      <c r="A91" s="64"/>
      <c r="B91" s="64"/>
      <c r="C91" s="64"/>
      <c r="D91" s="64"/>
      <c r="E91" s="64"/>
      <c r="F91" s="64"/>
      <c r="G91" s="64"/>
      <c r="H91" s="64"/>
      <c r="I91" s="6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</row>
    <row r="92" ht="12.75" customHeight="1">
      <c r="A92" s="64"/>
      <c r="B92" s="64"/>
      <c r="C92" s="64"/>
      <c r="D92" s="64"/>
      <c r="E92" s="64"/>
      <c r="F92" s="64"/>
      <c r="G92" s="64"/>
      <c r="H92" s="64"/>
      <c r="I92" s="6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</row>
    <row r="93" ht="12.75" customHeight="1">
      <c r="A93" s="64"/>
      <c r="B93" s="64"/>
      <c r="C93" s="64"/>
      <c r="D93" s="64"/>
      <c r="E93" s="64"/>
      <c r="F93" s="64"/>
      <c r="G93" s="64"/>
      <c r="H93" s="64"/>
      <c r="I93" s="6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</row>
    <row r="94" ht="12.75" customHeight="1">
      <c r="A94" s="64"/>
      <c r="B94" s="64"/>
      <c r="C94" s="64"/>
      <c r="D94" s="64"/>
      <c r="E94" s="64"/>
      <c r="F94" s="64"/>
      <c r="G94" s="64"/>
      <c r="H94" s="64"/>
      <c r="I94" s="6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</row>
    <row r="95" ht="12.75" customHeight="1">
      <c r="A95" s="64"/>
      <c r="B95" s="64"/>
      <c r="C95" s="64"/>
      <c r="D95" s="64"/>
      <c r="E95" s="64"/>
      <c r="F95" s="64"/>
      <c r="G95" s="64"/>
      <c r="H95" s="64"/>
      <c r="I95" s="6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</row>
    <row r="96" ht="12.75" customHeight="1">
      <c r="A96" s="64"/>
      <c r="B96" s="64"/>
      <c r="C96" s="64"/>
      <c r="D96" s="64"/>
      <c r="E96" s="64"/>
      <c r="F96" s="64"/>
      <c r="G96" s="64"/>
      <c r="H96" s="64"/>
      <c r="I96" s="6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</row>
    <row r="97" ht="12.75" customHeight="1">
      <c r="A97" s="64"/>
      <c r="B97" s="64"/>
      <c r="C97" s="64"/>
      <c r="D97" s="64"/>
      <c r="E97" s="64"/>
      <c r="F97" s="64"/>
      <c r="G97" s="64"/>
      <c r="H97" s="64"/>
      <c r="I97" s="6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</row>
    <row r="98" ht="12.75" customHeight="1">
      <c r="A98" s="64"/>
      <c r="B98" s="64"/>
      <c r="C98" s="64"/>
      <c r="D98" s="64"/>
      <c r="E98" s="64"/>
      <c r="F98" s="64"/>
      <c r="G98" s="64"/>
      <c r="H98" s="64"/>
      <c r="I98" s="6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</row>
    <row r="99" ht="12.75" customHeight="1">
      <c r="A99" s="64"/>
      <c r="B99" s="64"/>
      <c r="C99" s="64"/>
      <c r="D99" s="64"/>
      <c r="E99" s="64"/>
      <c r="F99" s="64"/>
      <c r="G99" s="64"/>
      <c r="H99" s="64"/>
      <c r="I99" s="6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</row>
    <row r="100" ht="12.75" customHeight="1">
      <c r="A100" s="64"/>
      <c r="B100" s="64"/>
      <c r="C100" s="64"/>
      <c r="D100" s="64"/>
      <c r="E100" s="64"/>
      <c r="F100" s="64"/>
      <c r="G100" s="64"/>
      <c r="H100" s="64"/>
      <c r="I100" s="6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</row>
    <row r="101" ht="12.75" customHeight="1">
      <c r="A101" s="64"/>
      <c r="B101" s="64"/>
      <c r="C101" s="64"/>
      <c r="D101" s="64"/>
      <c r="E101" s="64"/>
      <c r="F101" s="64"/>
      <c r="G101" s="64"/>
      <c r="H101" s="64"/>
      <c r="I101" s="6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</row>
    <row r="102" ht="12.75" customHeight="1">
      <c r="A102" s="64"/>
      <c r="B102" s="64"/>
      <c r="C102" s="64"/>
      <c r="D102" s="64"/>
      <c r="E102" s="64"/>
      <c r="F102" s="64"/>
      <c r="G102" s="64"/>
      <c r="H102" s="64"/>
      <c r="I102" s="6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</row>
    <row r="103" ht="12.75" customHeight="1">
      <c r="A103" s="64"/>
      <c r="B103" s="64"/>
      <c r="C103" s="64"/>
      <c r="D103" s="64"/>
      <c r="E103" s="64"/>
      <c r="F103" s="64"/>
      <c r="G103" s="64"/>
      <c r="H103" s="64"/>
      <c r="I103" s="6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</row>
    <row r="104" ht="12.75" customHeight="1">
      <c r="A104" s="64"/>
      <c r="B104" s="64"/>
      <c r="C104" s="64"/>
      <c r="D104" s="64"/>
      <c r="E104" s="64"/>
      <c r="F104" s="64"/>
      <c r="G104" s="64"/>
      <c r="H104" s="64"/>
      <c r="I104" s="6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</row>
    <row r="105" ht="12.75" customHeight="1">
      <c r="A105" s="64"/>
      <c r="B105" s="64"/>
      <c r="C105" s="64"/>
      <c r="D105" s="64"/>
      <c r="E105" s="64"/>
      <c r="F105" s="64"/>
      <c r="G105" s="64"/>
      <c r="H105" s="64"/>
      <c r="I105" s="6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</row>
    <row r="106" ht="12.75" customHeight="1">
      <c r="A106" s="64"/>
      <c r="B106" s="64"/>
      <c r="C106" s="64"/>
      <c r="D106" s="64"/>
      <c r="E106" s="64"/>
      <c r="F106" s="64"/>
      <c r="G106" s="64"/>
      <c r="H106" s="64"/>
      <c r="I106" s="6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</row>
    <row r="107" ht="12.75" customHeight="1">
      <c r="A107" s="64"/>
      <c r="B107" s="64"/>
      <c r="C107" s="64"/>
      <c r="D107" s="64"/>
      <c r="E107" s="64"/>
      <c r="F107" s="64"/>
      <c r="G107" s="64"/>
      <c r="H107" s="64"/>
      <c r="I107" s="6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</row>
    <row r="108" ht="12.75" customHeight="1">
      <c r="A108" s="64"/>
      <c r="B108" s="64"/>
      <c r="C108" s="64"/>
      <c r="D108" s="64"/>
      <c r="E108" s="64"/>
      <c r="F108" s="64"/>
      <c r="G108" s="64"/>
      <c r="H108" s="64"/>
      <c r="I108" s="6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</row>
    <row r="109" ht="12.75" customHeight="1">
      <c r="A109" s="64"/>
      <c r="B109" s="64"/>
      <c r="C109" s="64"/>
      <c r="D109" s="64"/>
      <c r="E109" s="64"/>
      <c r="F109" s="64"/>
      <c r="G109" s="64"/>
      <c r="H109" s="64"/>
      <c r="I109" s="6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</row>
    <row r="110" ht="12.75" customHeight="1">
      <c r="A110" s="64"/>
      <c r="B110" s="64"/>
      <c r="C110" s="64"/>
      <c r="D110" s="64"/>
      <c r="E110" s="64"/>
      <c r="F110" s="64"/>
      <c r="G110" s="64"/>
      <c r="H110" s="64"/>
      <c r="I110" s="6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</row>
    <row r="111" ht="12.75" customHeight="1">
      <c r="A111" s="64"/>
      <c r="B111" s="64"/>
      <c r="C111" s="64"/>
      <c r="D111" s="64"/>
      <c r="E111" s="64"/>
      <c r="F111" s="64"/>
      <c r="G111" s="64"/>
      <c r="H111" s="64"/>
      <c r="I111" s="6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</row>
    <row r="112" ht="12.75" customHeight="1">
      <c r="A112" s="64"/>
      <c r="B112" s="64"/>
      <c r="C112" s="64"/>
      <c r="D112" s="64"/>
      <c r="E112" s="64"/>
      <c r="F112" s="64"/>
      <c r="G112" s="64"/>
      <c r="H112" s="64"/>
      <c r="I112" s="6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</row>
    <row r="113" ht="12.75" customHeight="1">
      <c r="A113" s="64"/>
      <c r="B113" s="64"/>
      <c r="C113" s="64"/>
      <c r="D113" s="64"/>
      <c r="E113" s="64"/>
      <c r="F113" s="64"/>
      <c r="G113" s="64"/>
      <c r="H113" s="64"/>
      <c r="I113" s="6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</row>
    <row r="114" ht="12.75" customHeight="1">
      <c r="A114" s="64"/>
      <c r="B114" s="64"/>
      <c r="C114" s="64"/>
      <c r="D114" s="64"/>
      <c r="E114" s="64"/>
      <c r="F114" s="64"/>
      <c r="G114" s="64"/>
      <c r="H114" s="64"/>
      <c r="I114" s="6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</row>
    <row r="115" ht="12.75" customHeight="1">
      <c r="A115" s="64"/>
      <c r="B115" s="64"/>
      <c r="C115" s="64"/>
      <c r="D115" s="64"/>
      <c r="E115" s="64"/>
      <c r="F115" s="64"/>
      <c r="G115" s="64"/>
      <c r="H115" s="64"/>
      <c r="I115" s="6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</row>
    <row r="116" ht="12.75" customHeight="1">
      <c r="A116" s="64"/>
      <c r="B116" s="64"/>
      <c r="C116" s="64"/>
      <c r="D116" s="64"/>
      <c r="E116" s="64"/>
      <c r="F116" s="64"/>
      <c r="G116" s="64"/>
      <c r="H116" s="64"/>
      <c r="I116" s="6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</row>
    <row r="117" ht="12.75" customHeight="1">
      <c r="A117" s="64"/>
      <c r="B117" s="64"/>
      <c r="C117" s="64"/>
      <c r="D117" s="64"/>
      <c r="E117" s="64"/>
      <c r="F117" s="64"/>
      <c r="G117" s="64"/>
      <c r="H117" s="64"/>
      <c r="I117" s="6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</row>
    <row r="118" ht="12.75" customHeight="1">
      <c r="A118" s="64"/>
      <c r="B118" s="64"/>
      <c r="C118" s="64"/>
      <c r="D118" s="64"/>
      <c r="E118" s="64"/>
      <c r="F118" s="64"/>
      <c r="G118" s="64"/>
      <c r="H118" s="64"/>
      <c r="I118" s="6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</row>
    <row r="119" ht="12.75" customHeight="1">
      <c r="A119" s="64"/>
      <c r="B119" s="64"/>
      <c r="C119" s="64"/>
      <c r="D119" s="64"/>
      <c r="E119" s="64"/>
      <c r="F119" s="64"/>
      <c r="G119" s="64"/>
      <c r="H119" s="64"/>
      <c r="I119" s="6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</row>
    <row r="120" ht="12.75" customHeight="1">
      <c r="A120" s="64"/>
      <c r="B120" s="64"/>
      <c r="C120" s="64"/>
      <c r="D120" s="64"/>
      <c r="E120" s="64"/>
      <c r="F120" s="64"/>
      <c r="G120" s="64"/>
      <c r="H120" s="64"/>
      <c r="I120" s="6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</row>
    <row r="121" ht="12.75" customHeight="1">
      <c r="A121" s="64"/>
      <c r="B121" s="64"/>
      <c r="C121" s="64"/>
      <c r="D121" s="64"/>
      <c r="E121" s="64"/>
      <c r="F121" s="64"/>
      <c r="G121" s="64"/>
      <c r="H121" s="64"/>
      <c r="I121" s="6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</row>
    <row r="122" ht="12.75" customHeight="1">
      <c r="A122" s="64"/>
      <c r="B122" s="64"/>
      <c r="C122" s="64"/>
      <c r="D122" s="64"/>
      <c r="E122" s="64"/>
      <c r="F122" s="64"/>
      <c r="G122" s="64"/>
      <c r="H122" s="64"/>
      <c r="I122" s="6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</row>
    <row r="123" ht="12.75" customHeight="1">
      <c r="A123" s="64"/>
      <c r="B123" s="64"/>
      <c r="C123" s="64"/>
      <c r="D123" s="64"/>
      <c r="E123" s="64"/>
      <c r="F123" s="64"/>
      <c r="G123" s="64"/>
      <c r="H123" s="64"/>
      <c r="I123" s="6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</row>
    <row r="124" ht="12.75" customHeight="1">
      <c r="A124" s="64"/>
      <c r="B124" s="64"/>
      <c r="C124" s="64"/>
      <c r="D124" s="64"/>
      <c r="E124" s="64"/>
      <c r="F124" s="64"/>
      <c r="G124" s="64"/>
      <c r="H124" s="64"/>
      <c r="I124" s="6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</row>
    <row r="125" ht="12.75" customHeight="1">
      <c r="A125" s="64"/>
      <c r="B125" s="64"/>
      <c r="C125" s="64"/>
      <c r="D125" s="64"/>
      <c r="E125" s="64"/>
      <c r="F125" s="64"/>
      <c r="G125" s="64"/>
      <c r="H125" s="64"/>
      <c r="I125" s="6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</row>
    <row r="126" ht="12.75" customHeight="1">
      <c r="A126" s="64"/>
      <c r="B126" s="64"/>
      <c r="C126" s="64"/>
      <c r="D126" s="64"/>
      <c r="E126" s="64"/>
      <c r="F126" s="64"/>
      <c r="G126" s="64"/>
      <c r="H126" s="64"/>
      <c r="I126" s="6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</row>
    <row r="127" ht="12.75" customHeight="1">
      <c r="A127" s="64"/>
      <c r="B127" s="64"/>
      <c r="C127" s="64"/>
      <c r="D127" s="64"/>
      <c r="E127" s="64"/>
      <c r="F127" s="64"/>
      <c r="G127" s="64"/>
      <c r="H127" s="64"/>
      <c r="I127" s="6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</row>
    <row r="128" ht="12.75" customHeight="1">
      <c r="A128" s="64"/>
      <c r="B128" s="64"/>
      <c r="C128" s="64"/>
      <c r="D128" s="64"/>
      <c r="E128" s="64"/>
      <c r="F128" s="64"/>
      <c r="G128" s="64"/>
      <c r="H128" s="64"/>
      <c r="I128" s="6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 ht="12.75" customHeight="1">
      <c r="A129" s="64"/>
      <c r="B129" s="64"/>
      <c r="C129" s="64"/>
      <c r="D129" s="64"/>
      <c r="E129" s="64"/>
      <c r="F129" s="64"/>
      <c r="G129" s="64"/>
      <c r="H129" s="64"/>
      <c r="I129" s="6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 ht="12.75" customHeight="1">
      <c r="A130" s="64"/>
      <c r="B130" s="64"/>
      <c r="C130" s="64"/>
      <c r="D130" s="64"/>
      <c r="E130" s="64"/>
      <c r="F130" s="64"/>
      <c r="G130" s="64"/>
      <c r="H130" s="64"/>
      <c r="I130" s="6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 ht="12.75" customHeight="1">
      <c r="A131" s="64"/>
      <c r="B131" s="64"/>
      <c r="C131" s="64"/>
      <c r="D131" s="64"/>
      <c r="E131" s="64"/>
      <c r="F131" s="64"/>
      <c r="G131" s="64"/>
      <c r="H131" s="64"/>
      <c r="I131" s="6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 ht="12.75" customHeight="1">
      <c r="A132" s="64"/>
      <c r="B132" s="64"/>
      <c r="C132" s="64"/>
      <c r="D132" s="64"/>
      <c r="E132" s="64"/>
      <c r="F132" s="64"/>
      <c r="G132" s="64"/>
      <c r="H132" s="64"/>
      <c r="I132" s="6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 ht="12.75" customHeight="1">
      <c r="A133" s="64"/>
      <c r="B133" s="64"/>
      <c r="C133" s="64"/>
      <c r="D133" s="64"/>
      <c r="E133" s="64"/>
      <c r="F133" s="64"/>
      <c r="G133" s="64"/>
      <c r="H133" s="64"/>
      <c r="I133" s="6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 ht="12.75" customHeight="1">
      <c r="A134" s="64"/>
      <c r="B134" s="64"/>
      <c r="C134" s="64"/>
      <c r="D134" s="64"/>
      <c r="E134" s="64"/>
      <c r="F134" s="64"/>
      <c r="G134" s="64"/>
      <c r="H134" s="64"/>
      <c r="I134" s="6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 ht="12.75" customHeight="1">
      <c r="A135" s="64"/>
      <c r="B135" s="64"/>
      <c r="C135" s="64"/>
      <c r="D135" s="64"/>
      <c r="E135" s="64"/>
      <c r="F135" s="64"/>
      <c r="G135" s="64"/>
      <c r="H135" s="64"/>
      <c r="I135" s="6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 ht="12.75" customHeight="1">
      <c r="A136" s="64"/>
      <c r="B136" s="64"/>
      <c r="C136" s="64"/>
      <c r="D136" s="64"/>
      <c r="E136" s="64"/>
      <c r="F136" s="64"/>
      <c r="G136" s="64"/>
      <c r="H136" s="64"/>
      <c r="I136" s="6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 ht="12.75" customHeight="1">
      <c r="A137" s="64"/>
      <c r="B137" s="64"/>
      <c r="C137" s="64"/>
      <c r="D137" s="64"/>
      <c r="E137" s="64"/>
      <c r="F137" s="64"/>
      <c r="G137" s="64"/>
      <c r="H137" s="64"/>
      <c r="I137" s="6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 ht="12.75" customHeight="1">
      <c r="A138" s="64"/>
      <c r="B138" s="64"/>
      <c r="C138" s="64"/>
      <c r="D138" s="64"/>
      <c r="E138" s="64"/>
      <c r="F138" s="64"/>
      <c r="G138" s="64"/>
      <c r="H138" s="64"/>
      <c r="I138" s="6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 ht="12.75" customHeight="1">
      <c r="A139" s="64"/>
      <c r="B139" s="64"/>
      <c r="C139" s="64"/>
      <c r="D139" s="64"/>
      <c r="E139" s="64"/>
      <c r="F139" s="64"/>
      <c r="G139" s="64"/>
      <c r="H139" s="64"/>
      <c r="I139" s="6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 ht="12.75" customHeight="1">
      <c r="A140" s="64"/>
      <c r="B140" s="64"/>
      <c r="C140" s="64"/>
      <c r="D140" s="64"/>
      <c r="E140" s="64"/>
      <c r="F140" s="64"/>
      <c r="G140" s="64"/>
      <c r="H140" s="64"/>
      <c r="I140" s="6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 ht="12.75" customHeight="1">
      <c r="A141" s="64"/>
      <c r="B141" s="64"/>
      <c r="C141" s="64"/>
      <c r="D141" s="64"/>
      <c r="E141" s="64"/>
      <c r="F141" s="64"/>
      <c r="G141" s="64"/>
      <c r="H141" s="64"/>
      <c r="I141" s="6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 ht="12.75" customHeight="1">
      <c r="A142" s="64"/>
      <c r="B142" s="64"/>
      <c r="C142" s="64"/>
      <c r="D142" s="64"/>
      <c r="E142" s="64"/>
      <c r="F142" s="64"/>
      <c r="G142" s="64"/>
      <c r="H142" s="64"/>
      <c r="I142" s="6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 ht="12.75" customHeight="1">
      <c r="A143" s="64"/>
      <c r="B143" s="64"/>
      <c r="C143" s="64"/>
      <c r="D143" s="64"/>
      <c r="E143" s="64"/>
      <c r="F143" s="64"/>
      <c r="G143" s="64"/>
      <c r="H143" s="64"/>
      <c r="I143" s="6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 ht="12.75" customHeight="1">
      <c r="A144" s="64"/>
      <c r="B144" s="64"/>
      <c r="C144" s="64"/>
      <c r="D144" s="64"/>
      <c r="E144" s="64"/>
      <c r="F144" s="64"/>
      <c r="G144" s="64"/>
      <c r="H144" s="64"/>
      <c r="I144" s="6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 ht="12.75" customHeight="1">
      <c r="A145" s="64"/>
      <c r="B145" s="64"/>
      <c r="C145" s="64"/>
      <c r="D145" s="64"/>
      <c r="E145" s="64"/>
      <c r="F145" s="64"/>
      <c r="G145" s="64"/>
      <c r="H145" s="64"/>
      <c r="I145" s="6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 ht="12.75" customHeight="1">
      <c r="A146" s="64"/>
      <c r="B146" s="64"/>
      <c r="C146" s="64"/>
      <c r="D146" s="64"/>
      <c r="E146" s="64"/>
      <c r="F146" s="64"/>
      <c r="G146" s="64"/>
      <c r="H146" s="64"/>
      <c r="I146" s="6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 ht="12.75" customHeight="1">
      <c r="A147" s="64"/>
      <c r="B147" s="64"/>
      <c r="C147" s="64"/>
      <c r="D147" s="64"/>
      <c r="E147" s="64"/>
      <c r="F147" s="64"/>
      <c r="G147" s="64"/>
      <c r="H147" s="64"/>
      <c r="I147" s="6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 ht="12.75" customHeight="1">
      <c r="A148" s="64"/>
      <c r="B148" s="64"/>
      <c r="C148" s="64"/>
      <c r="D148" s="64"/>
      <c r="E148" s="64"/>
      <c r="F148" s="64"/>
      <c r="G148" s="64"/>
      <c r="H148" s="64"/>
      <c r="I148" s="6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 ht="12.75" customHeight="1">
      <c r="A149" s="64"/>
      <c r="B149" s="64"/>
      <c r="C149" s="64"/>
      <c r="D149" s="64"/>
      <c r="E149" s="64"/>
      <c r="F149" s="64"/>
      <c r="G149" s="64"/>
      <c r="H149" s="64"/>
      <c r="I149" s="6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 ht="12.75" customHeight="1">
      <c r="A150" s="64"/>
      <c r="B150" s="64"/>
      <c r="C150" s="64"/>
      <c r="D150" s="64"/>
      <c r="E150" s="64"/>
      <c r="F150" s="64"/>
      <c r="G150" s="64"/>
      <c r="H150" s="64"/>
      <c r="I150" s="6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 ht="12.75" customHeight="1">
      <c r="A151" s="64"/>
      <c r="B151" s="64"/>
      <c r="C151" s="64"/>
      <c r="D151" s="64"/>
      <c r="E151" s="64"/>
      <c r="F151" s="64"/>
      <c r="G151" s="64"/>
      <c r="H151" s="64"/>
      <c r="I151" s="6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 ht="12.75" customHeight="1">
      <c r="A152" s="64"/>
      <c r="B152" s="64"/>
      <c r="C152" s="64"/>
      <c r="D152" s="64"/>
      <c r="E152" s="64"/>
      <c r="F152" s="64"/>
      <c r="G152" s="64"/>
      <c r="H152" s="64"/>
      <c r="I152" s="6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 ht="12.75" customHeight="1">
      <c r="A153" s="64"/>
      <c r="B153" s="64"/>
      <c r="C153" s="64"/>
      <c r="D153" s="64"/>
      <c r="E153" s="64"/>
      <c r="F153" s="64"/>
      <c r="G153" s="64"/>
      <c r="H153" s="64"/>
      <c r="I153" s="6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 ht="12.75" customHeight="1">
      <c r="A154" s="64"/>
      <c r="B154" s="64"/>
      <c r="C154" s="64"/>
      <c r="D154" s="64"/>
      <c r="E154" s="64"/>
      <c r="F154" s="64"/>
      <c r="G154" s="64"/>
      <c r="H154" s="64"/>
      <c r="I154" s="6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 ht="12.75" customHeight="1">
      <c r="A155" s="64"/>
      <c r="B155" s="64"/>
      <c r="C155" s="64"/>
      <c r="D155" s="64"/>
      <c r="E155" s="64"/>
      <c r="F155" s="64"/>
      <c r="G155" s="64"/>
      <c r="H155" s="64"/>
      <c r="I155" s="6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 ht="12.75" customHeight="1">
      <c r="A156" s="64"/>
      <c r="B156" s="64"/>
      <c r="C156" s="64"/>
      <c r="D156" s="64"/>
      <c r="E156" s="64"/>
      <c r="F156" s="64"/>
      <c r="G156" s="64"/>
      <c r="H156" s="64"/>
      <c r="I156" s="6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 ht="12.75" customHeight="1">
      <c r="A157" s="64"/>
      <c r="B157" s="64"/>
      <c r="C157" s="64"/>
      <c r="D157" s="64"/>
      <c r="E157" s="64"/>
      <c r="F157" s="64"/>
      <c r="G157" s="64"/>
      <c r="H157" s="64"/>
      <c r="I157" s="6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 ht="12.75" customHeight="1">
      <c r="A158" s="64"/>
      <c r="B158" s="64"/>
      <c r="C158" s="64"/>
      <c r="D158" s="64"/>
      <c r="E158" s="64"/>
      <c r="F158" s="64"/>
      <c r="G158" s="64"/>
      <c r="H158" s="64"/>
      <c r="I158" s="6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 ht="12.75" customHeight="1">
      <c r="A159" s="64"/>
      <c r="B159" s="64"/>
      <c r="C159" s="64"/>
      <c r="D159" s="64"/>
      <c r="E159" s="64"/>
      <c r="F159" s="64"/>
      <c r="G159" s="64"/>
      <c r="H159" s="64"/>
      <c r="I159" s="6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 ht="12.75" customHeight="1">
      <c r="A160" s="64"/>
      <c r="B160" s="64"/>
      <c r="C160" s="64"/>
      <c r="D160" s="64"/>
      <c r="E160" s="64"/>
      <c r="F160" s="64"/>
      <c r="G160" s="64"/>
      <c r="H160" s="64"/>
      <c r="I160" s="6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 ht="12.75" customHeight="1">
      <c r="A161" s="64"/>
      <c r="B161" s="64"/>
      <c r="C161" s="64"/>
      <c r="D161" s="64"/>
      <c r="E161" s="64"/>
      <c r="F161" s="64"/>
      <c r="G161" s="64"/>
      <c r="H161" s="64"/>
      <c r="I161" s="6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 ht="12.75" customHeight="1">
      <c r="A162" s="64"/>
      <c r="B162" s="64"/>
      <c r="C162" s="64"/>
      <c r="D162" s="64"/>
      <c r="E162" s="64"/>
      <c r="F162" s="64"/>
      <c r="G162" s="64"/>
      <c r="H162" s="64"/>
      <c r="I162" s="6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 ht="12.75" customHeight="1">
      <c r="A163" s="64"/>
      <c r="B163" s="64"/>
      <c r="C163" s="64"/>
      <c r="D163" s="64"/>
      <c r="E163" s="64"/>
      <c r="F163" s="64"/>
      <c r="G163" s="64"/>
      <c r="H163" s="64"/>
      <c r="I163" s="6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 ht="12.75" customHeight="1">
      <c r="A164" s="64"/>
      <c r="B164" s="64"/>
      <c r="C164" s="64"/>
      <c r="D164" s="64"/>
      <c r="E164" s="64"/>
      <c r="F164" s="64"/>
      <c r="G164" s="64"/>
      <c r="H164" s="64"/>
      <c r="I164" s="6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 ht="12.75" customHeight="1">
      <c r="A165" s="64"/>
      <c r="B165" s="64"/>
      <c r="C165" s="64"/>
      <c r="D165" s="64"/>
      <c r="E165" s="64"/>
      <c r="F165" s="64"/>
      <c r="G165" s="64"/>
      <c r="H165" s="64"/>
      <c r="I165" s="6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 ht="12.75" customHeight="1">
      <c r="A166" s="64"/>
      <c r="B166" s="64"/>
      <c r="C166" s="64"/>
      <c r="D166" s="64"/>
      <c r="E166" s="64"/>
      <c r="F166" s="64"/>
      <c r="G166" s="64"/>
      <c r="H166" s="64"/>
      <c r="I166" s="6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 ht="12.75" customHeight="1">
      <c r="A167" s="64"/>
      <c r="B167" s="64"/>
      <c r="C167" s="64"/>
      <c r="D167" s="64"/>
      <c r="E167" s="64"/>
      <c r="F167" s="64"/>
      <c r="G167" s="64"/>
      <c r="H167" s="64"/>
      <c r="I167" s="6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 ht="12.75" customHeight="1">
      <c r="A168" s="64"/>
      <c r="B168" s="64"/>
      <c r="C168" s="64"/>
      <c r="D168" s="64"/>
      <c r="E168" s="64"/>
      <c r="F168" s="64"/>
      <c r="G168" s="64"/>
      <c r="H168" s="64"/>
      <c r="I168" s="6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 ht="12.75" customHeight="1">
      <c r="A169" s="64"/>
      <c r="B169" s="64"/>
      <c r="C169" s="64"/>
      <c r="D169" s="64"/>
      <c r="E169" s="64"/>
      <c r="F169" s="64"/>
      <c r="G169" s="64"/>
      <c r="H169" s="64"/>
      <c r="I169" s="6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 ht="12.75" customHeight="1">
      <c r="A170" s="64"/>
      <c r="B170" s="64"/>
      <c r="C170" s="64"/>
      <c r="D170" s="64"/>
      <c r="E170" s="64"/>
      <c r="F170" s="64"/>
      <c r="G170" s="64"/>
      <c r="H170" s="64"/>
      <c r="I170" s="6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 ht="12.75" customHeight="1">
      <c r="A171" s="64"/>
      <c r="B171" s="64"/>
      <c r="C171" s="64"/>
      <c r="D171" s="64"/>
      <c r="E171" s="64"/>
      <c r="F171" s="64"/>
      <c r="G171" s="64"/>
      <c r="H171" s="64"/>
      <c r="I171" s="6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 ht="12.75" customHeight="1">
      <c r="A172" s="64"/>
      <c r="B172" s="64"/>
      <c r="C172" s="64"/>
      <c r="D172" s="64"/>
      <c r="E172" s="64"/>
      <c r="F172" s="64"/>
      <c r="G172" s="64"/>
      <c r="H172" s="64"/>
      <c r="I172" s="6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 ht="12.75" customHeight="1">
      <c r="A173" s="64"/>
      <c r="B173" s="64"/>
      <c r="C173" s="64"/>
      <c r="D173" s="64"/>
      <c r="E173" s="64"/>
      <c r="F173" s="64"/>
      <c r="G173" s="64"/>
      <c r="H173" s="64"/>
      <c r="I173" s="6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 ht="12.75" customHeight="1">
      <c r="A174" s="64"/>
      <c r="B174" s="64"/>
      <c r="C174" s="64"/>
      <c r="D174" s="64"/>
      <c r="E174" s="64"/>
      <c r="F174" s="64"/>
      <c r="G174" s="64"/>
      <c r="H174" s="64"/>
      <c r="I174" s="6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 ht="12.75" customHeight="1">
      <c r="A175" s="64"/>
      <c r="B175" s="64"/>
      <c r="C175" s="64"/>
      <c r="D175" s="64"/>
      <c r="E175" s="64"/>
      <c r="F175" s="64"/>
      <c r="G175" s="64"/>
      <c r="H175" s="64"/>
      <c r="I175" s="6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 ht="12.75" customHeight="1">
      <c r="A176" s="64"/>
      <c r="B176" s="64"/>
      <c r="C176" s="64"/>
      <c r="D176" s="64"/>
      <c r="E176" s="64"/>
      <c r="F176" s="64"/>
      <c r="G176" s="64"/>
      <c r="H176" s="64"/>
      <c r="I176" s="6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 ht="12.75" customHeight="1">
      <c r="A177" s="64"/>
      <c r="B177" s="64"/>
      <c r="C177" s="64"/>
      <c r="D177" s="64"/>
      <c r="E177" s="64"/>
      <c r="F177" s="64"/>
      <c r="G177" s="64"/>
      <c r="H177" s="64"/>
      <c r="I177" s="6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 ht="12.75" customHeight="1">
      <c r="A178" s="64"/>
      <c r="B178" s="64"/>
      <c r="C178" s="64"/>
      <c r="D178" s="64"/>
      <c r="E178" s="64"/>
      <c r="F178" s="64"/>
      <c r="G178" s="64"/>
      <c r="H178" s="64"/>
      <c r="I178" s="6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 ht="12.75" customHeight="1">
      <c r="A179" s="64"/>
      <c r="B179" s="64"/>
      <c r="C179" s="64"/>
      <c r="D179" s="64"/>
      <c r="E179" s="64"/>
      <c r="F179" s="64"/>
      <c r="G179" s="64"/>
      <c r="H179" s="64"/>
      <c r="I179" s="6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 ht="12.75" customHeight="1">
      <c r="A180" s="64"/>
      <c r="B180" s="64"/>
      <c r="C180" s="64"/>
      <c r="D180" s="64"/>
      <c r="E180" s="64"/>
      <c r="F180" s="64"/>
      <c r="G180" s="64"/>
      <c r="H180" s="64"/>
      <c r="I180" s="6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 ht="12.75" customHeight="1">
      <c r="A181" s="64"/>
      <c r="B181" s="64"/>
      <c r="C181" s="64"/>
      <c r="D181" s="64"/>
      <c r="E181" s="64"/>
      <c r="F181" s="64"/>
      <c r="G181" s="64"/>
      <c r="H181" s="64"/>
      <c r="I181" s="6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 ht="12.75" customHeight="1">
      <c r="A182" s="64"/>
      <c r="B182" s="64"/>
      <c r="C182" s="64"/>
      <c r="D182" s="64"/>
      <c r="E182" s="64"/>
      <c r="F182" s="64"/>
      <c r="G182" s="64"/>
      <c r="H182" s="64"/>
      <c r="I182" s="6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 ht="12.75" customHeight="1">
      <c r="A183" s="64"/>
      <c r="B183" s="64"/>
      <c r="C183" s="64"/>
      <c r="D183" s="64"/>
      <c r="E183" s="64"/>
      <c r="F183" s="64"/>
      <c r="G183" s="64"/>
      <c r="H183" s="64"/>
      <c r="I183" s="6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 ht="12.75" customHeight="1">
      <c r="A184" s="64"/>
      <c r="B184" s="64"/>
      <c r="C184" s="64"/>
      <c r="D184" s="64"/>
      <c r="E184" s="64"/>
      <c r="F184" s="64"/>
      <c r="G184" s="64"/>
      <c r="H184" s="64"/>
      <c r="I184" s="6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 ht="12.75" customHeight="1">
      <c r="A185" s="64"/>
      <c r="B185" s="64"/>
      <c r="C185" s="64"/>
      <c r="D185" s="64"/>
      <c r="E185" s="64"/>
      <c r="F185" s="64"/>
      <c r="G185" s="64"/>
      <c r="H185" s="64"/>
      <c r="I185" s="6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 ht="12.75" customHeight="1">
      <c r="A186" s="64"/>
      <c r="B186" s="64"/>
      <c r="C186" s="64"/>
      <c r="D186" s="64"/>
      <c r="E186" s="64"/>
      <c r="F186" s="64"/>
      <c r="G186" s="64"/>
      <c r="H186" s="64"/>
      <c r="I186" s="6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 ht="12.75" customHeight="1">
      <c r="A187" s="64"/>
      <c r="B187" s="64"/>
      <c r="C187" s="64"/>
      <c r="D187" s="64"/>
      <c r="E187" s="64"/>
      <c r="F187" s="64"/>
      <c r="G187" s="64"/>
      <c r="H187" s="64"/>
      <c r="I187" s="6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 ht="12.75" customHeight="1">
      <c r="A188" s="64"/>
      <c r="B188" s="64"/>
      <c r="C188" s="64"/>
      <c r="D188" s="64"/>
      <c r="E188" s="64"/>
      <c r="F188" s="64"/>
      <c r="G188" s="64"/>
      <c r="H188" s="64"/>
      <c r="I188" s="6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 ht="12.75" customHeight="1">
      <c r="A189" s="64"/>
      <c r="B189" s="64"/>
      <c r="C189" s="64"/>
      <c r="D189" s="64"/>
      <c r="E189" s="64"/>
      <c r="F189" s="64"/>
      <c r="G189" s="64"/>
      <c r="H189" s="64"/>
      <c r="I189" s="6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 ht="12.75" customHeight="1">
      <c r="A190" s="64"/>
      <c r="B190" s="64"/>
      <c r="C190" s="64"/>
      <c r="D190" s="64"/>
      <c r="E190" s="64"/>
      <c r="F190" s="64"/>
      <c r="G190" s="64"/>
      <c r="H190" s="64"/>
      <c r="I190" s="6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 ht="12.75" customHeight="1">
      <c r="A191" s="64"/>
      <c r="B191" s="64"/>
      <c r="C191" s="64"/>
      <c r="D191" s="64"/>
      <c r="E191" s="64"/>
      <c r="F191" s="64"/>
      <c r="G191" s="64"/>
      <c r="H191" s="64"/>
      <c r="I191" s="6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 ht="12.75" customHeight="1">
      <c r="A192" s="64"/>
      <c r="B192" s="64"/>
      <c r="C192" s="64"/>
      <c r="D192" s="64"/>
      <c r="E192" s="64"/>
      <c r="F192" s="64"/>
      <c r="G192" s="64"/>
      <c r="H192" s="64"/>
      <c r="I192" s="6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 ht="12.75" customHeight="1">
      <c r="A193" s="64"/>
      <c r="B193" s="64"/>
      <c r="C193" s="64"/>
      <c r="D193" s="64"/>
      <c r="E193" s="64"/>
      <c r="F193" s="64"/>
      <c r="G193" s="64"/>
      <c r="H193" s="64"/>
      <c r="I193" s="6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 ht="12.75" customHeight="1">
      <c r="A194" s="64"/>
      <c r="B194" s="64"/>
      <c r="C194" s="64"/>
      <c r="D194" s="64"/>
      <c r="E194" s="64"/>
      <c r="F194" s="64"/>
      <c r="G194" s="64"/>
      <c r="H194" s="64"/>
      <c r="I194" s="6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 ht="12.75" customHeight="1">
      <c r="A195" s="64"/>
      <c r="B195" s="64"/>
      <c r="C195" s="64"/>
      <c r="D195" s="64"/>
      <c r="E195" s="64"/>
      <c r="F195" s="64"/>
      <c r="G195" s="64"/>
      <c r="H195" s="64"/>
      <c r="I195" s="6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 ht="12.75" customHeight="1">
      <c r="A196" s="64"/>
      <c r="B196" s="64"/>
      <c r="C196" s="64"/>
      <c r="D196" s="64"/>
      <c r="E196" s="64"/>
      <c r="F196" s="64"/>
      <c r="G196" s="64"/>
      <c r="H196" s="64"/>
      <c r="I196" s="6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 ht="12.75" customHeight="1">
      <c r="A197" s="64"/>
      <c r="B197" s="64"/>
      <c r="C197" s="64"/>
      <c r="D197" s="64"/>
      <c r="E197" s="64"/>
      <c r="F197" s="64"/>
      <c r="G197" s="64"/>
      <c r="H197" s="64"/>
      <c r="I197" s="6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 ht="12.75" customHeight="1">
      <c r="A198" s="64"/>
      <c r="B198" s="64"/>
      <c r="C198" s="64"/>
      <c r="D198" s="64"/>
      <c r="E198" s="64"/>
      <c r="F198" s="64"/>
      <c r="G198" s="64"/>
      <c r="H198" s="64"/>
      <c r="I198" s="6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 ht="12.75" customHeight="1">
      <c r="A199" s="64"/>
      <c r="B199" s="64"/>
      <c r="C199" s="64"/>
      <c r="D199" s="64"/>
      <c r="E199" s="64"/>
      <c r="F199" s="64"/>
      <c r="G199" s="64"/>
      <c r="H199" s="64"/>
      <c r="I199" s="6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 ht="12.75" customHeight="1">
      <c r="A200" s="64"/>
      <c r="B200" s="64"/>
      <c r="C200" s="64"/>
      <c r="D200" s="64"/>
      <c r="E200" s="64"/>
      <c r="F200" s="64"/>
      <c r="G200" s="64"/>
      <c r="H200" s="64"/>
      <c r="I200" s="6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 ht="12.75" customHeight="1">
      <c r="A201" s="64"/>
      <c r="B201" s="64"/>
      <c r="C201" s="64"/>
      <c r="D201" s="64"/>
      <c r="E201" s="64"/>
      <c r="F201" s="64"/>
      <c r="G201" s="64"/>
      <c r="H201" s="64"/>
      <c r="I201" s="6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 ht="12.75" customHeight="1">
      <c r="A202" s="64"/>
      <c r="B202" s="64"/>
      <c r="C202" s="64"/>
      <c r="D202" s="64"/>
      <c r="E202" s="64"/>
      <c r="F202" s="64"/>
      <c r="G202" s="64"/>
      <c r="H202" s="64"/>
      <c r="I202" s="6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 ht="12.75" customHeight="1">
      <c r="A203" s="64"/>
      <c r="B203" s="64"/>
      <c r="C203" s="64"/>
      <c r="D203" s="64"/>
      <c r="E203" s="64"/>
      <c r="F203" s="64"/>
      <c r="G203" s="64"/>
      <c r="H203" s="64"/>
      <c r="I203" s="6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 ht="12.75" customHeight="1">
      <c r="A204" s="64"/>
      <c r="B204" s="64"/>
      <c r="C204" s="64"/>
      <c r="D204" s="64"/>
      <c r="E204" s="64"/>
      <c r="F204" s="64"/>
      <c r="G204" s="64"/>
      <c r="H204" s="64"/>
      <c r="I204" s="6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 ht="12.75" customHeight="1">
      <c r="A205" s="64"/>
      <c r="B205" s="64"/>
      <c r="C205" s="64"/>
      <c r="D205" s="64"/>
      <c r="E205" s="64"/>
      <c r="F205" s="64"/>
      <c r="G205" s="64"/>
      <c r="H205" s="64"/>
      <c r="I205" s="6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 ht="12.75" customHeight="1">
      <c r="A206" s="64"/>
      <c r="B206" s="64"/>
      <c r="C206" s="64"/>
      <c r="D206" s="64"/>
      <c r="E206" s="64"/>
      <c r="F206" s="64"/>
      <c r="G206" s="64"/>
      <c r="H206" s="64"/>
      <c r="I206" s="6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 ht="12.75" customHeight="1">
      <c r="A207" s="64"/>
      <c r="B207" s="64"/>
      <c r="C207" s="64"/>
      <c r="D207" s="64"/>
      <c r="E207" s="64"/>
      <c r="F207" s="64"/>
      <c r="G207" s="64"/>
      <c r="H207" s="64"/>
      <c r="I207" s="6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 ht="12.75" customHeight="1">
      <c r="A208" s="64"/>
      <c r="B208" s="64"/>
      <c r="C208" s="64"/>
      <c r="D208" s="64"/>
      <c r="E208" s="64"/>
      <c r="F208" s="64"/>
      <c r="G208" s="64"/>
      <c r="H208" s="64"/>
      <c r="I208" s="6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 ht="12.75" customHeight="1">
      <c r="A209" s="64"/>
      <c r="B209" s="64"/>
      <c r="C209" s="64"/>
      <c r="D209" s="64"/>
      <c r="E209" s="64"/>
      <c r="F209" s="64"/>
      <c r="G209" s="64"/>
      <c r="H209" s="64"/>
      <c r="I209" s="6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 ht="12.75" customHeight="1">
      <c r="A210" s="64"/>
      <c r="B210" s="64"/>
      <c r="C210" s="64"/>
      <c r="D210" s="64"/>
      <c r="E210" s="64"/>
      <c r="F210" s="64"/>
      <c r="G210" s="64"/>
      <c r="H210" s="64"/>
      <c r="I210" s="6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 ht="12.75" customHeight="1">
      <c r="A211" s="64"/>
      <c r="B211" s="64"/>
      <c r="C211" s="64"/>
      <c r="D211" s="64"/>
      <c r="E211" s="64"/>
      <c r="F211" s="64"/>
      <c r="G211" s="64"/>
      <c r="H211" s="64"/>
      <c r="I211" s="6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 ht="12.75" customHeight="1">
      <c r="A212" s="64"/>
      <c r="B212" s="64"/>
      <c r="C212" s="64"/>
      <c r="D212" s="64"/>
      <c r="E212" s="64"/>
      <c r="F212" s="64"/>
      <c r="G212" s="64"/>
      <c r="H212" s="64"/>
      <c r="I212" s="6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 ht="12.75" customHeight="1">
      <c r="A213" s="64"/>
      <c r="B213" s="64"/>
      <c r="C213" s="64"/>
      <c r="D213" s="64"/>
      <c r="E213" s="64"/>
      <c r="F213" s="64"/>
      <c r="G213" s="64"/>
      <c r="H213" s="64"/>
      <c r="I213" s="6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 ht="12.75" customHeight="1">
      <c r="A214" s="64"/>
      <c r="B214" s="64"/>
      <c r="C214" s="64"/>
      <c r="D214" s="64"/>
      <c r="E214" s="64"/>
      <c r="F214" s="64"/>
      <c r="G214" s="64"/>
      <c r="H214" s="64"/>
      <c r="I214" s="6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 ht="12.75" customHeight="1">
      <c r="A215" s="64"/>
      <c r="B215" s="64"/>
      <c r="C215" s="64"/>
      <c r="D215" s="64"/>
      <c r="E215" s="64"/>
      <c r="F215" s="64"/>
      <c r="G215" s="64"/>
      <c r="H215" s="64"/>
      <c r="I215" s="6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 ht="12.75" customHeight="1">
      <c r="A216" s="64"/>
      <c r="B216" s="64"/>
      <c r="C216" s="64"/>
      <c r="D216" s="64"/>
      <c r="E216" s="64"/>
      <c r="F216" s="64"/>
      <c r="G216" s="64"/>
      <c r="H216" s="64"/>
      <c r="I216" s="6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 ht="12.75" customHeight="1">
      <c r="A217" s="64"/>
      <c r="B217" s="64"/>
      <c r="C217" s="64"/>
      <c r="D217" s="64"/>
      <c r="E217" s="64"/>
      <c r="F217" s="64"/>
      <c r="G217" s="64"/>
      <c r="H217" s="64"/>
      <c r="I217" s="6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 ht="12.75" customHeight="1">
      <c r="A218" s="64"/>
      <c r="B218" s="64"/>
      <c r="C218" s="64"/>
      <c r="D218" s="64"/>
      <c r="E218" s="64"/>
      <c r="F218" s="64"/>
      <c r="G218" s="64"/>
      <c r="H218" s="64"/>
      <c r="I218" s="6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 ht="12.75" customHeight="1">
      <c r="A219" s="64"/>
      <c r="B219" s="64"/>
      <c r="C219" s="64"/>
      <c r="D219" s="64"/>
      <c r="E219" s="64"/>
      <c r="F219" s="64"/>
      <c r="G219" s="64"/>
      <c r="H219" s="64"/>
      <c r="I219" s="6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 ht="12.75" customHeight="1">
      <c r="A220" s="64"/>
      <c r="B220" s="64"/>
      <c r="C220" s="64"/>
      <c r="D220" s="64"/>
      <c r="E220" s="64"/>
      <c r="F220" s="64"/>
      <c r="G220" s="64"/>
      <c r="H220" s="64"/>
      <c r="I220" s="6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 ht="12.75" customHeight="1">
      <c r="A221" s="64"/>
      <c r="B221" s="64"/>
      <c r="C221" s="64"/>
      <c r="D221" s="64"/>
      <c r="E221" s="64"/>
      <c r="F221" s="64"/>
      <c r="G221" s="64"/>
      <c r="H221" s="64"/>
      <c r="I221" s="6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 ht="12.75" customHeight="1">
      <c r="A222" s="64"/>
      <c r="B222" s="64"/>
      <c r="C222" s="64"/>
      <c r="D222" s="64"/>
      <c r="E222" s="64"/>
      <c r="F222" s="64"/>
      <c r="G222" s="64"/>
      <c r="H222" s="64"/>
      <c r="I222" s="6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 ht="12.75" customHeight="1">
      <c r="A223" s="64"/>
      <c r="B223" s="64"/>
      <c r="C223" s="64"/>
      <c r="D223" s="64"/>
      <c r="E223" s="64"/>
      <c r="F223" s="64"/>
      <c r="G223" s="64"/>
      <c r="H223" s="64"/>
      <c r="I223" s="6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 ht="12.75" customHeight="1">
      <c r="A224" s="64"/>
      <c r="B224" s="64"/>
      <c r="C224" s="64"/>
      <c r="D224" s="64"/>
      <c r="E224" s="64"/>
      <c r="F224" s="64"/>
      <c r="G224" s="64"/>
      <c r="H224" s="64"/>
      <c r="I224" s="6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 ht="12.75" customHeight="1">
      <c r="A225" s="64"/>
      <c r="B225" s="64"/>
      <c r="C225" s="64"/>
      <c r="D225" s="64"/>
      <c r="E225" s="64"/>
      <c r="F225" s="64"/>
      <c r="G225" s="64"/>
      <c r="H225" s="64"/>
      <c r="I225" s="6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 ht="12.75" customHeight="1">
      <c r="A226" s="64"/>
      <c r="B226" s="64"/>
      <c r="C226" s="64"/>
      <c r="D226" s="64"/>
      <c r="E226" s="64"/>
      <c r="F226" s="64"/>
      <c r="G226" s="64"/>
      <c r="H226" s="64"/>
      <c r="I226" s="6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 ht="12.75" customHeight="1">
      <c r="A227" s="64"/>
      <c r="B227" s="64"/>
      <c r="C227" s="64"/>
      <c r="D227" s="64"/>
      <c r="E227" s="64"/>
      <c r="F227" s="64"/>
      <c r="G227" s="64"/>
      <c r="H227" s="64"/>
      <c r="I227" s="6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 ht="12.75" customHeight="1">
      <c r="A228" s="64"/>
      <c r="B228" s="64"/>
      <c r="C228" s="64"/>
      <c r="D228" s="64"/>
      <c r="E228" s="64"/>
      <c r="F228" s="64"/>
      <c r="G228" s="64"/>
      <c r="H228" s="64"/>
      <c r="I228" s="6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 ht="12.75" customHeight="1">
      <c r="A229" s="64"/>
      <c r="B229" s="64"/>
      <c r="C229" s="64"/>
      <c r="D229" s="64"/>
      <c r="E229" s="64"/>
      <c r="F229" s="64"/>
      <c r="G229" s="64"/>
      <c r="H229" s="64"/>
      <c r="I229" s="6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 ht="12.75" customHeight="1">
      <c r="A230" s="64"/>
      <c r="B230" s="64"/>
      <c r="C230" s="64"/>
      <c r="D230" s="64"/>
      <c r="E230" s="64"/>
      <c r="F230" s="64"/>
      <c r="G230" s="64"/>
      <c r="H230" s="64"/>
      <c r="I230" s="6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 ht="12.75" customHeight="1">
      <c r="A231" s="64"/>
      <c r="B231" s="64"/>
      <c r="C231" s="64"/>
      <c r="D231" s="64"/>
      <c r="E231" s="64"/>
      <c r="F231" s="64"/>
      <c r="G231" s="64"/>
      <c r="H231" s="64"/>
      <c r="I231" s="6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 ht="12.75" customHeight="1">
      <c r="A232" s="64"/>
      <c r="B232" s="64"/>
      <c r="C232" s="64"/>
      <c r="D232" s="64"/>
      <c r="E232" s="64"/>
      <c r="F232" s="64"/>
      <c r="G232" s="64"/>
      <c r="H232" s="64"/>
      <c r="I232" s="6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 ht="12.75" customHeight="1">
      <c r="A233" s="64"/>
      <c r="B233" s="64"/>
      <c r="C233" s="64"/>
      <c r="D233" s="64"/>
      <c r="E233" s="64"/>
      <c r="F233" s="64"/>
      <c r="G233" s="64"/>
      <c r="H233" s="64"/>
      <c r="I233" s="6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 ht="12.75" customHeight="1">
      <c r="A234" s="64"/>
      <c r="B234" s="64"/>
      <c r="C234" s="64"/>
      <c r="D234" s="64"/>
      <c r="E234" s="64"/>
      <c r="F234" s="64"/>
      <c r="G234" s="64"/>
      <c r="H234" s="64"/>
      <c r="I234" s="67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 ht="12.75" customHeight="1">
      <c r="A235" s="64"/>
      <c r="B235" s="64"/>
      <c r="C235" s="64"/>
      <c r="D235" s="64"/>
      <c r="E235" s="64"/>
      <c r="F235" s="64"/>
      <c r="G235" s="64"/>
      <c r="H235" s="64"/>
      <c r="I235" s="6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 ht="12.75" customHeight="1">
      <c r="A236" s="64"/>
      <c r="B236" s="64"/>
      <c r="C236" s="64"/>
      <c r="D236" s="64"/>
      <c r="E236" s="64"/>
      <c r="F236" s="64"/>
      <c r="G236" s="64"/>
      <c r="H236" s="64"/>
      <c r="I236" s="67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 ht="12.75" customHeight="1">
      <c r="A237" s="64"/>
      <c r="B237" s="64"/>
      <c r="C237" s="64"/>
      <c r="D237" s="64"/>
      <c r="E237" s="64"/>
      <c r="F237" s="64"/>
      <c r="G237" s="64"/>
      <c r="H237" s="64"/>
      <c r="I237" s="67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 ht="12.75" customHeight="1">
      <c r="A238" s="64"/>
      <c r="B238" s="64"/>
      <c r="C238" s="64"/>
      <c r="D238" s="64"/>
      <c r="E238" s="64"/>
      <c r="F238" s="64"/>
      <c r="G238" s="64"/>
      <c r="H238" s="64"/>
      <c r="I238" s="67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 ht="12.75" customHeight="1">
      <c r="A239" s="64"/>
      <c r="B239" s="64"/>
      <c r="C239" s="64"/>
      <c r="D239" s="64"/>
      <c r="E239" s="64"/>
      <c r="F239" s="64"/>
      <c r="G239" s="64"/>
      <c r="H239" s="64"/>
      <c r="I239" s="67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 ht="12.75" customHeight="1">
      <c r="A240" s="64"/>
      <c r="B240" s="64"/>
      <c r="C240" s="64"/>
      <c r="D240" s="64"/>
      <c r="E240" s="64"/>
      <c r="F240" s="64"/>
      <c r="G240" s="64"/>
      <c r="H240" s="64"/>
      <c r="I240" s="67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 ht="12.75" customHeight="1">
      <c r="A241" s="64"/>
      <c r="B241" s="64"/>
      <c r="C241" s="64"/>
      <c r="D241" s="64"/>
      <c r="E241" s="64"/>
      <c r="F241" s="64"/>
      <c r="G241" s="64"/>
      <c r="H241" s="64"/>
      <c r="I241" s="67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 ht="12.75" customHeight="1">
      <c r="A242" s="64"/>
      <c r="B242" s="64"/>
      <c r="C242" s="64"/>
      <c r="D242" s="64"/>
      <c r="E242" s="64"/>
      <c r="F242" s="64"/>
      <c r="G242" s="64"/>
      <c r="H242" s="64"/>
      <c r="I242" s="67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 ht="12.75" customHeight="1">
      <c r="A243" s="64"/>
      <c r="B243" s="64"/>
      <c r="C243" s="64"/>
      <c r="D243" s="64"/>
      <c r="E243" s="64"/>
      <c r="F243" s="64"/>
      <c r="G243" s="64"/>
      <c r="H243" s="64"/>
      <c r="I243" s="67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 ht="12.75" customHeight="1">
      <c r="A244" s="64"/>
      <c r="B244" s="64"/>
      <c r="C244" s="64"/>
      <c r="D244" s="64"/>
      <c r="E244" s="64"/>
      <c r="F244" s="64"/>
      <c r="G244" s="64"/>
      <c r="H244" s="64"/>
      <c r="I244" s="67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 ht="12.75" customHeight="1">
      <c r="A245" s="64"/>
      <c r="B245" s="64"/>
      <c r="C245" s="64"/>
      <c r="D245" s="64"/>
      <c r="E245" s="64"/>
      <c r="F245" s="64"/>
      <c r="G245" s="64"/>
      <c r="H245" s="64"/>
      <c r="I245" s="67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 ht="12.75" customHeight="1">
      <c r="A246" s="64"/>
      <c r="B246" s="64"/>
      <c r="C246" s="64"/>
      <c r="D246" s="64"/>
      <c r="E246" s="64"/>
      <c r="F246" s="64"/>
      <c r="G246" s="64"/>
      <c r="H246" s="64"/>
      <c r="I246" s="67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 ht="12.75" customHeight="1">
      <c r="A247" s="64"/>
      <c r="B247" s="64"/>
      <c r="C247" s="64"/>
      <c r="D247" s="64"/>
      <c r="E247" s="64"/>
      <c r="F247" s="64"/>
      <c r="G247" s="64"/>
      <c r="H247" s="64"/>
      <c r="I247" s="67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 ht="12.75" customHeight="1">
      <c r="A248" s="64"/>
      <c r="B248" s="64"/>
      <c r="C248" s="64"/>
      <c r="D248" s="64"/>
      <c r="E248" s="64"/>
      <c r="F248" s="64"/>
      <c r="G248" s="64"/>
      <c r="H248" s="64"/>
      <c r="I248" s="67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 ht="12.75" customHeight="1">
      <c r="A249" s="64"/>
      <c r="B249" s="64"/>
      <c r="C249" s="64"/>
      <c r="D249" s="64"/>
      <c r="E249" s="64"/>
      <c r="F249" s="64"/>
      <c r="G249" s="64"/>
      <c r="H249" s="64"/>
      <c r="I249" s="67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 ht="12.75" customHeight="1">
      <c r="A250" s="64"/>
      <c r="B250" s="64"/>
      <c r="C250" s="64"/>
      <c r="D250" s="64"/>
      <c r="E250" s="64"/>
      <c r="F250" s="64"/>
      <c r="G250" s="64"/>
      <c r="H250" s="64"/>
      <c r="I250" s="67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 ht="12.75" customHeight="1">
      <c r="A251" s="64"/>
      <c r="B251" s="64"/>
      <c r="C251" s="64"/>
      <c r="D251" s="64"/>
      <c r="E251" s="64"/>
      <c r="F251" s="64"/>
      <c r="G251" s="64"/>
      <c r="H251" s="64"/>
      <c r="I251" s="67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 ht="12.75" customHeight="1">
      <c r="A252" s="64"/>
      <c r="B252" s="64"/>
      <c r="C252" s="64"/>
      <c r="D252" s="64"/>
      <c r="E252" s="64"/>
      <c r="F252" s="64"/>
      <c r="G252" s="64"/>
      <c r="H252" s="64"/>
      <c r="I252" s="67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 ht="12.75" customHeight="1">
      <c r="A253" s="64"/>
      <c r="B253" s="64"/>
      <c r="C253" s="64"/>
      <c r="D253" s="64"/>
      <c r="E253" s="64"/>
      <c r="F253" s="64"/>
      <c r="G253" s="64"/>
      <c r="H253" s="64"/>
      <c r="I253" s="67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 ht="12.75" customHeight="1">
      <c r="A254" s="64"/>
      <c r="B254" s="64"/>
      <c r="C254" s="64"/>
      <c r="D254" s="64"/>
      <c r="E254" s="64"/>
      <c r="F254" s="64"/>
      <c r="G254" s="64"/>
      <c r="H254" s="64"/>
      <c r="I254" s="67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 ht="12.75" customHeight="1">
      <c r="A255" s="64"/>
      <c r="B255" s="64"/>
      <c r="C255" s="64"/>
      <c r="D255" s="64"/>
      <c r="E255" s="64"/>
      <c r="F255" s="64"/>
      <c r="G255" s="64"/>
      <c r="H255" s="64"/>
      <c r="I255" s="67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 ht="12.75" customHeight="1">
      <c r="A256" s="64"/>
      <c r="B256" s="64"/>
      <c r="C256" s="64"/>
      <c r="D256" s="64"/>
      <c r="E256" s="64"/>
      <c r="F256" s="64"/>
      <c r="G256" s="64"/>
      <c r="H256" s="64"/>
      <c r="I256" s="67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 ht="12.75" customHeight="1">
      <c r="A257" s="64"/>
      <c r="B257" s="64"/>
      <c r="C257" s="64"/>
      <c r="D257" s="64"/>
      <c r="E257" s="64"/>
      <c r="F257" s="64"/>
      <c r="G257" s="64"/>
      <c r="H257" s="64"/>
      <c r="I257" s="67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 ht="12.75" customHeight="1">
      <c r="A258" s="64"/>
      <c r="B258" s="64"/>
      <c r="C258" s="64"/>
      <c r="D258" s="64"/>
      <c r="E258" s="64"/>
      <c r="F258" s="64"/>
      <c r="G258" s="64"/>
      <c r="H258" s="64"/>
      <c r="I258" s="67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 ht="12.75" customHeight="1">
      <c r="A259" s="64"/>
      <c r="B259" s="64"/>
      <c r="C259" s="64"/>
      <c r="D259" s="64"/>
      <c r="E259" s="64"/>
      <c r="F259" s="64"/>
      <c r="G259" s="64"/>
      <c r="H259" s="64"/>
      <c r="I259" s="67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 ht="12.75" customHeight="1">
      <c r="A260" s="64"/>
      <c r="B260" s="64"/>
      <c r="C260" s="64"/>
      <c r="D260" s="64"/>
      <c r="E260" s="64"/>
      <c r="F260" s="64"/>
      <c r="G260" s="64"/>
      <c r="H260" s="64"/>
      <c r="I260" s="67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 ht="12.75" customHeight="1">
      <c r="A261" s="64"/>
      <c r="B261" s="64"/>
      <c r="C261" s="64"/>
      <c r="D261" s="64"/>
      <c r="E261" s="64"/>
      <c r="F261" s="64"/>
      <c r="G261" s="64"/>
      <c r="H261" s="64"/>
      <c r="I261" s="67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 ht="12.75" customHeight="1">
      <c r="A262" s="64"/>
      <c r="B262" s="64"/>
      <c r="C262" s="64"/>
      <c r="D262" s="64"/>
      <c r="E262" s="64"/>
      <c r="F262" s="64"/>
      <c r="G262" s="64"/>
      <c r="H262" s="64"/>
      <c r="I262" s="67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 ht="12.75" customHeight="1">
      <c r="A263" s="64"/>
      <c r="B263" s="64"/>
      <c r="C263" s="64"/>
      <c r="D263" s="64"/>
      <c r="E263" s="64"/>
      <c r="F263" s="64"/>
      <c r="G263" s="64"/>
      <c r="H263" s="64"/>
      <c r="I263" s="67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 ht="12.75" customHeight="1">
      <c r="A264" s="64"/>
      <c r="B264" s="64"/>
      <c r="C264" s="64"/>
      <c r="D264" s="64"/>
      <c r="E264" s="64"/>
      <c r="F264" s="64"/>
      <c r="G264" s="64"/>
      <c r="H264" s="64"/>
      <c r="I264" s="67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 ht="12.75" customHeight="1">
      <c r="A265" s="64"/>
      <c r="B265" s="64"/>
      <c r="C265" s="64"/>
      <c r="D265" s="64"/>
      <c r="E265" s="64"/>
      <c r="F265" s="64"/>
      <c r="G265" s="64"/>
      <c r="H265" s="64"/>
      <c r="I265" s="67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 ht="12.75" customHeight="1">
      <c r="A266" s="64"/>
      <c r="B266" s="64"/>
      <c r="C266" s="64"/>
      <c r="D266" s="64"/>
      <c r="E266" s="64"/>
      <c r="F266" s="64"/>
      <c r="G266" s="64"/>
      <c r="H266" s="64"/>
      <c r="I266" s="67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 ht="12.75" customHeight="1">
      <c r="A267" s="64"/>
      <c r="B267" s="64"/>
      <c r="C267" s="64"/>
      <c r="D267" s="64"/>
      <c r="E267" s="64"/>
      <c r="F267" s="64"/>
      <c r="G267" s="64"/>
      <c r="H267" s="64"/>
      <c r="I267" s="67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 ht="12.75" customHeight="1">
      <c r="A268" s="64"/>
      <c r="B268" s="64"/>
      <c r="C268" s="64"/>
      <c r="D268" s="64"/>
      <c r="E268" s="64"/>
      <c r="F268" s="64"/>
      <c r="G268" s="64"/>
      <c r="H268" s="64"/>
      <c r="I268" s="67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 ht="12.75" customHeight="1">
      <c r="A269" s="64"/>
      <c r="B269" s="64"/>
      <c r="C269" s="64"/>
      <c r="D269" s="64"/>
      <c r="E269" s="64"/>
      <c r="F269" s="64"/>
      <c r="G269" s="64"/>
      <c r="H269" s="64"/>
      <c r="I269" s="67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 ht="12.75" customHeight="1">
      <c r="A270" s="64"/>
      <c r="B270" s="64"/>
      <c r="C270" s="64"/>
      <c r="D270" s="64"/>
      <c r="E270" s="64"/>
      <c r="F270" s="64"/>
      <c r="G270" s="64"/>
      <c r="H270" s="64"/>
      <c r="I270" s="67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 ht="12.75" customHeight="1">
      <c r="A271" s="64"/>
      <c r="B271" s="64"/>
      <c r="C271" s="64"/>
      <c r="D271" s="64"/>
      <c r="E271" s="64"/>
      <c r="F271" s="64"/>
      <c r="G271" s="64"/>
      <c r="H271" s="64"/>
      <c r="I271" s="67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 ht="12.75" customHeight="1">
      <c r="A272" s="64"/>
      <c r="B272" s="64"/>
      <c r="C272" s="64"/>
      <c r="D272" s="64"/>
      <c r="E272" s="64"/>
      <c r="F272" s="64"/>
      <c r="G272" s="64"/>
      <c r="H272" s="64"/>
      <c r="I272" s="67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 ht="12.75" customHeight="1">
      <c r="A273" s="64"/>
      <c r="B273" s="64"/>
      <c r="C273" s="64"/>
      <c r="D273" s="64"/>
      <c r="E273" s="64"/>
      <c r="F273" s="64"/>
      <c r="G273" s="64"/>
      <c r="H273" s="64"/>
      <c r="I273" s="67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 ht="12.75" customHeight="1">
      <c r="A274" s="64"/>
      <c r="B274" s="64"/>
      <c r="C274" s="64"/>
      <c r="D274" s="64"/>
      <c r="E274" s="64"/>
      <c r="F274" s="64"/>
      <c r="G274" s="64"/>
      <c r="H274" s="64"/>
      <c r="I274" s="67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 ht="12.75" customHeight="1">
      <c r="A275" s="64"/>
      <c r="B275" s="64"/>
      <c r="C275" s="64"/>
      <c r="D275" s="64"/>
      <c r="E275" s="64"/>
      <c r="F275" s="64"/>
      <c r="G275" s="64"/>
      <c r="H275" s="64"/>
      <c r="I275" s="67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 ht="12.75" customHeight="1">
      <c r="A276" s="64"/>
      <c r="B276" s="64"/>
      <c r="C276" s="64"/>
      <c r="D276" s="64"/>
      <c r="E276" s="64"/>
      <c r="F276" s="64"/>
      <c r="G276" s="64"/>
      <c r="H276" s="64"/>
      <c r="I276" s="67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 ht="12.75" customHeight="1">
      <c r="A277" s="64"/>
      <c r="B277" s="64"/>
      <c r="C277" s="64"/>
      <c r="D277" s="64"/>
      <c r="E277" s="64"/>
      <c r="F277" s="64"/>
      <c r="G277" s="64"/>
      <c r="H277" s="64"/>
      <c r="I277" s="67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 ht="12.75" customHeight="1">
      <c r="A278" s="64"/>
      <c r="B278" s="64"/>
      <c r="C278" s="64"/>
      <c r="D278" s="64"/>
      <c r="E278" s="64"/>
      <c r="F278" s="64"/>
      <c r="G278" s="64"/>
      <c r="H278" s="64"/>
      <c r="I278" s="67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 ht="12.75" customHeight="1">
      <c r="A279" s="64"/>
      <c r="B279" s="64"/>
      <c r="C279" s="64"/>
      <c r="D279" s="64"/>
      <c r="E279" s="64"/>
      <c r="F279" s="64"/>
      <c r="G279" s="64"/>
      <c r="H279" s="64"/>
      <c r="I279" s="67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 ht="12.75" customHeight="1">
      <c r="A280" s="64"/>
      <c r="B280" s="64"/>
      <c r="C280" s="64"/>
      <c r="D280" s="64"/>
      <c r="E280" s="64"/>
      <c r="F280" s="64"/>
      <c r="G280" s="64"/>
      <c r="H280" s="64"/>
      <c r="I280" s="67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 ht="12.75" customHeight="1">
      <c r="A281" s="64"/>
      <c r="B281" s="64"/>
      <c r="C281" s="64"/>
      <c r="D281" s="64"/>
      <c r="E281" s="64"/>
      <c r="F281" s="64"/>
      <c r="G281" s="64"/>
      <c r="H281" s="64"/>
      <c r="I281" s="67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 ht="12.75" customHeight="1">
      <c r="A282" s="64"/>
      <c r="B282" s="64"/>
      <c r="C282" s="64"/>
      <c r="D282" s="64"/>
      <c r="E282" s="64"/>
      <c r="F282" s="64"/>
      <c r="G282" s="64"/>
      <c r="H282" s="64"/>
      <c r="I282" s="67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 ht="12.75" customHeight="1">
      <c r="A283" s="64"/>
      <c r="B283" s="64"/>
      <c r="C283" s="64"/>
      <c r="D283" s="64"/>
      <c r="E283" s="64"/>
      <c r="F283" s="64"/>
      <c r="G283" s="64"/>
      <c r="H283" s="64"/>
      <c r="I283" s="67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 ht="12.75" customHeight="1">
      <c r="A284" s="64"/>
      <c r="B284" s="64"/>
      <c r="C284" s="64"/>
      <c r="D284" s="64"/>
      <c r="E284" s="64"/>
      <c r="F284" s="64"/>
      <c r="G284" s="64"/>
      <c r="H284" s="64"/>
      <c r="I284" s="67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 ht="12.75" customHeight="1">
      <c r="A285" s="64"/>
      <c r="B285" s="64"/>
      <c r="C285" s="64"/>
      <c r="D285" s="64"/>
      <c r="E285" s="64"/>
      <c r="F285" s="64"/>
      <c r="G285" s="64"/>
      <c r="H285" s="64"/>
      <c r="I285" s="67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 ht="12.75" customHeight="1">
      <c r="A286" s="64"/>
      <c r="B286" s="64"/>
      <c r="C286" s="64"/>
      <c r="D286" s="64"/>
      <c r="E286" s="64"/>
      <c r="F286" s="64"/>
      <c r="G286" s="64"/>
      <c r="H286" s="64"/>
      <c r="I286" s="67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 ht="12.75" customHeight="1">
      <c r="A287" s="64"/>
      <c r="B287" s="64"/>
      <c r="C287" s="64"/>
      <c r="D287" s="64"/>
      <c r="E287" s="64"/>
      <c r="F287" s="64"/>
      <c r="G287" s="64"/>
      <c r="H287" s="64"/>
      <c r="I287" s="67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 ht="12.75" customHeight="1">
      <c r="A288" s="64"/>
      <c r="B288" s="64"/>
      <c r="C288" s="64"/>
      <c r="D288" s="64"/>
      <c r="E288" s="64"/>
      <c r="F288" s="64"/>
      <c r="G288" s="64"/>
      <c r="H288" s="64"/>
      <c r="I288" s="67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 ht="12.75" customHeight="1">
      <c r="A289" s="64"/>
      <c r="B289" s="64"/>
      <c r="C289" s="64"/>
      <c r="D289" s="64"/>
      <c r="E289" s="64"/>
      <c r="F289" s="64"/>
      <c r="G289" s="64"/>
      <c r="H289" s="64"/>
      <c r="I289" s="67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 ht="12.75" customHeight="1">
      <c r="A290" s="64"/>
      <c r="B290" s="64"/>
      <c r="C290" s="64"/>
      <c r="D290" s="64"/>
      <c r="E290" s="64"/>
      <c r="F290" s="64"/>
      <c r="G290" s="64"/>
      <c r="H290" s="64"/>
      <c r="I290" s="67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 ht="12.75" customHeight="1">
      <c r="A291" s="64"/>
      <c r="B291" s="64"/>
      <c r="C291" s="64"/>
      <c r="D291" s="64"/>
      <c r="E291" s="64"/>
      <c r="F291" s="64"/>
      <c r="G291" s="64"/>
      <c r="H291" s="64"/>
      <c r="I291" s="67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 ht="12.75" customHeight="1">
      <c r="A292" s="64"/>
      <c r="B292" s="64"/>
      <c r="C292" s="64"/>
      <c r="D292" s="64"/>
      <c r="E292" s="64"/>
      <c r="F292" s="64"/>
      <c r="G292" s="64"/>
      <c r="H292" s="64"/>
      <c r="I292" s="67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 ht="12.75" customHeight="1">
      <c r="A293" s="64"/>
      <c r="B293" s="64"/>
      <c r="C293" s="64"/>
      <c r="D293" s="64"/>
      <c r="E293" s="64"/>
      <c r="F293" s="64"/>
      <c r="G293" s="64"/>
      <c r="H293" s="64"/>
      <c r="I293" s="67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 ht="12.75" customHeight="1">
      <c r="A294" s="64"/>
      <c r="B294" s="64"/>
      <c r="C294" s="64"/>
      <c r="D294" s="64"/>
      <c r="E294" s="64"/>
      <c r="F294" s="64"/>
      <c r="G294" s="64"/>
      <c r="H294" s="64"/>
      <c r="I294" s="67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 ht="12.75" customHeight="1">
      <c r="A295" s="64"/>
      <c r="B295" s="64"/>
      <c r="C295" s="64"/>
      <c r="D295" s="64"/>
      <c r="E295" s="64"/>
      <c r="F295" s="64"/>
      <c r="G295" s="64"/>
      <c r="H295" s="64"/>
      <c r="I295" s="67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 ht="12.75" customHeight="1">
      <c r="A296" s="64"/>
      <c r="B296" s="64"/>
      <c r="C296" s="64"/>
      <c r="D296" s="64"/>
      <c r="E296" s="64"/>
      <c r="F296" s="64"/>
      <c r="G296" s="64"/>
      <c r="H296" s="64"/>
      <c r="I296" s="67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 ht="12.75" customHeight="1">
      <c r="A297" s="64"/>
      <c r="B297" s="64"/>
      <c r="C297" s="64"/>
      <c r="D297" s="64"/>
      <c r="E297" s="64"/>
      <c r="F297" s="64"/>
      <c r="G297" s="64"/>
      <c r="H297" s="64"/>
      <c r="I297" s="67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 ht="12.75" customHeight="1">
      <c r="A298" s="64"/>
      <c r="B298" s="64"/>
      <c r="C298" s="64"/>
      <c r="D298" s="64"/>
      <c r="E298" s="64"/>
      <c r="F298" s="64"/>
      <c r="G298" s="64"/>
      <c r="H298" s="64"/>
      <c r="I298" s="67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 ht="12.75" customHeight="1">
      <c r="A299" s="64"/>
      <c r="B299" s="64"/>
      <c r="C299" s="64"/>
      <c r="D299" s="64"/>
      <c r="E299" s="64"/>
      <c r="F299" s="64"/>
      <c r="G299" s="64"/>
      <c r="H299" s="64"/>
      <c r="I299" s="67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 ht="12.75" customHeight="1">
      <c r="A300" s="64"/>
      <c r="B300" s="64"/>
      <c r="C300" s="64"/>
      <c r="D300" s="64"/>
      <c r="E300" s="64"/>
      <c r="F300" s="64"/>
      <c r="G300" s="64"/>
      <c r="H300" s="64"/>
      <c r="I300" s="67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 ht="12.75" customHeight="1">
      <c r="A301" s="64"/>
      <c r="B301" s="64"/>
      <c r="C301" s="64"/>
      <c r="D301" s="64"/>
      <c r="E301" s="64"/>
      <c r="F301" s="64"/>
      <c r="G301" s="64"/>
      <c r="H301" s="64"/>
      <c r="I301" s="67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 ht="12.75" customHeight="1">
      <c r="A302" s="64"/>
      <c r="B302" s="64"/>
      <c r="C302" s="64"/>
      <c r="D302" s="64"/>
      <c r="E302" s="64"/>
      <c r="F302" s="64"/>
      <c r="G302" s="64"/>
      <c r="H302" s="64"/>
      <c r="I302" s="67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 ht="12.75" customHeight="1">
      <c r="A303" s="64"/>
      <c r="B303" s="64"/>
      <c r="C303" s="64"/>
      <c r="D303" s="64"/>
      <c r="E303" s="64"/>
      <c r="F303" s="64"/>
      <c r="G303" s="64"/>
      <c r="H303" s="64"/>
      <c r="I303" s="67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 ht="12.75" customHeight="1">
      <c r="A304" s="64"/>
      <c r="B304" s="64"/>
      <c r="C304" s="64"/>
      <c r="D304" s="64"/>
      <c r="E304" s="64"/>
      <c r="F304" s="64"/>
      <c r="G304" s="64"/>
      <c r="H304" s="64"/>
      <c r="I304" s="67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 ht="12.75" customHeight="1">
      <c r="A305" s="64"/>
      <c r="B305" s="64"/>
      <c r="C305" s="64"/>
      <c r="D305" s="64"/>
      <c r="E305" s="64"/>
      <c r="F305" s="64"/>
      <c r="G305" s="64"/>
      <c r="H305" s="64"/>
      <c r="I305" s="67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 ht="12.75" customHeight="1">
      <c r="A306" s="64"/>
      <c r="B306" s="64"/>
      <c r="C306" s="64"/>
      <c r="D306" s="64"/>
      <c r="E306" s="64"/>
      <c r="F306" s="64"/>
      <c r="G306" s="64"/>
      <c r="H306" s="64"/>
      <c r="I306" s="67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 ht="12.75" customHeight="1">
      <c r="A307" s="64"/>
      <c r="B307" s="64"/>
      <c r="C307" s="64"/>
      <c r="D307" s="64"/>
      <c r="E307" s="64"/>
      <c r="F307" s="64"/>
      <c r="G307" s="64"/>
      <c r="H307" s="64"/>
      <c r="I307" s="67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 ht="12.75" customHeight="1">
      <c r="A308" s="64"/>
      <c r="B308" s="64"/>
      <c r="C308" s="64"/>
      <c r="D308" s="64"/>
      <c r="E308" s="64"/>
      <c r="F308" s="64"/>
      <c r="G308" s="64"/>
      <c r="H308" s="64"/>
      <c r="I308" s="67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 ht="12.75" customHeight="1">
      <c r="A309" s="64"/>
      <c r="B309" s="64"/>
      <c r="C309" s="64"/>
      <c r="D309" s="64"/>
      <c r="E309" s="64"/>
      <c r="F309" s="64"/>
      <c r="G309" s="64"/>
      <c r="H309" s="64"/>
      <c r="I309" s="67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 ht="12.75" customHeight="1">
      <c r="A310" s="64"/>
      <c r="B310" s="64"/>
      <c r="C310" s="64"/>
      <c r="D310" s="64"/>
      <c r="E310" s="64"/>
      <c r="F310" s="64"/>
      <c r="G310" s="64"/>
      <c r="H310" s="64"/>
      <c r="I310" s="67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 ht="12.75" customHeight="1">
      <c r="A311" s="64"/>
      <c r="B311" s="64"/>
      <c r="C311" s="64"/>
      <c r="D311" s="64"/>
      <c r="E311" s="64"/>
      <c r="F311" s="64"/>
      <c r="G311" s="64"/>
      <c r="H311" s="64"/>
      <c r="I311" s="67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 ht="12.75" customHeight="1">
      <c r="A312" s="64"/>
      <c r="B312" s="64"/>
      <c r="C312" s="64"/>
      <c r="D312" s="64"/>
      <c r="E312" s="64"/>
      <c r="F312" s="64"/>
      <c r="G312" s="64"/>
      <c r="H312" s="64"/>
      <c r="I312" s="67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 ht="12.75" customHeight="1">
      <c r="A313" s="64"/>
      <c r="B313" s="64"/>
      <c r="C313" s="64"/>
      <c r="D313" s="64"/>
      <c r="E313" s="64"/>
      <c r="F313" s="64"/>
      <c r="G313" s="64"/>
      <c r="H313" s="64"/>
      <c r="I313" s="67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 ht="12.75" customHeight="1">
      <c r="A314" s="64"/>
      <c r="B314" s="64"/>
      <c r="C314" s="64"/>
      <c r="D314" s="64"/>
      <c r="E314" s="64"/>
      <c r="F314" s="64"/>
      <c r="G314" s="64"/>
      <c r="H314" s="64"/>
      <c r="I314" s="67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 ht="12.75" customHeight="1">
      <c r="A315" s="64"/>
      <c r="B315" s="64"/>
      <c r="C315" s="64"/>
      <c r="D315" s="64"/>
      <c r="E315" s="64"/>
      <c r="F315" s="64"/>
      <c r="G315" s="64"/>
      <c r="H315" s="64"/>
      <c r="I315" s="67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 ht="12.75" customHeight="1">
      <c r="A316" s="64"/>
      <c r="B316" s="64"/>
      <c r="C316" s="64"/>
      <c r="D316" s="64"/>
      <c r="E316" s="64"/>
      <c r="F316" s="64"/>
      <c r="G316" s="64"/>
      <c r="H316" s="64"/>
      <c r="I316" s="67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 ht="12.75" customHeight="1">
      <c r="A317" s="64"/>
      <c r="B317" s="64"/>
      <c r="C317" s="64"/>
      <c r="D317" s="64"/>
      <c r="E317" s="64"/>
      <c r="F317" s="64"/>
      <c r="G317" s="64"/>
      <c r="H317" s="64"/>
      <c r="I317" s="67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 ht="12.75" customHeight="1">
      <c r="A318" s="64"/>
      <c r="B318" s="64"/>
      <c r="C318" s="64"/>
      <c r="D318" s="64"/>
      <c r="E318" s="64"/>
      <c r="F318" s="64"/>
      <c r="G318" s="64"/>
      <c r="H318" s="64"/>
      <c r="I318" s="67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 ht="12.75" customHeight="1">
      <c r="A319" s="64"/>
      <c r="B319" s="64"/>
      <c r="C319" s="64"/>
      <c r="D319" s="64"/>
      <c r="E319" s="64"/>
      <c r="F319" s="64"/>
      <c r="G319" s="64"/>
      <c r="H319" s="64"/>
      <c r="I319" s="67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 ht="12.75" customHeight="1">
      <c r="A320" s="64"/>
      <c r="B320" s="64"/>
      <c r="C320" s="64"/>
      <c r="D320" s="64"/>
      <c r="E320" s="64"/>
      <c r="F320" s="64"/>
      <c r="G320" s="64"/>
      <c r="H320" s="64"/>
      <c r="I320" s="67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 ht="12.75" customHeight="1">
      <c r="A321" s="64"/>
      <c r="B321" s="64"/>
      <c r="C321" s="64"/>
      <c r="D321" s="64"/>
      <c r="E321" s="64"/>
      <c r="F321" s="64"/>
      <c r="G321" s="64"/>
      <c r="H321" s="64"/>
      <c r="I321" s="67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 ht="12.75" customHeight="1">
      <c r="A322" s="64"/>
      <c r="B322" s="64"/>
      <c r="C322" s="64"/>
      <c r="D322" s="64"/>
      <c r="E322" s="64"/>
      <c r="F322" s="64"/>
      <c r="G322" s="64"/>
      <c r="H322" s="64"/>
      <c r="I322" s="67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 ht="12.75" customHeight="1">
      <c r="A323" s="64"/>
      <c r="B323" s="64"/>
      <c r="C323" s="64"/>
      <c r="D323" s="64"/>
      <c r="E323" s="64"/>
      <c r="F323" s="64"/>
      <c r="G323" s="64"/>
      <c r="H323" s="64"/>
      <c r="I323" s="67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 ht="12.75" customHeight="1">
      <c r="A324" s="64"/>
      <c r="B324" s="64"/>
      <c r="C324" s="64"/>
      <c r="D324" s="64"/>
      <c r="E324" s="64"/>
      <c r="F324" s="64"/>
      <c r="G324" s="64"/>
      <c r="H324" s="64"/>
      <c r="I324" s="67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 ht="12.75" customHeight="1">
      <c r="A325" s="64"/>
      <c r="B325" s="64"/>
      <c r="C325" s="64"/>
      <c r="D325" s="64"/>
      <c r="E325" s="64"/>
      <c r="F325" s="64"/>
      <c r="G325" s="64"/>
      <c r="H325" s="64"/>
      <c r="I325" s="67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 ht="12.75" customHeight="1">
      <c r="A326" s="64"/>
      <c r="B326" s="64"/>
      <c r="C326" s="64"/>
      <c r="D326" s="64"/>
      <c r="E326" s="64"/>
      <c r="F326" s="64"/>
      <c r="G326" s="64"/>
      <c r="H326" s="64"/>
      <c r="I326" s="67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 ht="12.75" customHeight="1">
      <c r="A327" s="64"/>
      <c r="B327" s="64"/>
      <c r="C327" s="64"/>
      <c r="D327" s="64"/>
      <c r="E327" s="64"/>
      <c r="F327" s="64"/>
      <c r="G327" s="64"/>
      <c r="H327" s="64"/>
      <c r="I327" s="67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 ht="12.75" customHeight="1">
      <c r="A328" s="64"/>
      <c r="B328" s="64"/>
      <c r="C328" s="64"/>
      <c r="D328" s="64"/>
      <c r="E328" s="64"/>
      <c r="F328" s="64"/>
      <c r="G328" s="64"/>
      <c r="H328" s="64"/>
      <c r="I328" s="67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 ht="12.75" customHeight="1">
      <c r="A329" s="64"/>
      <c r="B329" s="64"/>
      <c r="C329" s="64"/>
      <c r="D329" s="64"/>
      <c r="E329" s="64"/>
      <c r="F329" s="64"/>
      <c r="G329" s="64"/>
      <c r="H329" s="64"/>
      <c r="I329" s="67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 ht="12.75" customHeight="1">
      <c r="A330" s="64"/>
      <c r="B330" s="64"/>
      <c r="C330" s="64"/>
      <c r="D330" s="64"/>
      <c r="E330" s="64"/>
      <c r="F330" s="64"/>
      <c r="G330" s="64"/>
      <c r="H330" s="64"/>
      <c r="I330" s="67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 ht="12.75" customHeight="1">
      <c r="A331" s="64"/>
      <c r="B331" s="64"/>
      <c r="C331" s="64"/>
      <c r="D331" s="64"/>
      <c r="E331" s="64"/>
      <c r="F331" s="64"/>
      <c r="G331" s="64"/>
      <c r="H331" s="64"/>
      <c r="I331" s="67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 ht="12.75" customHeight="1">
      <c r="A332" s="64"/>
      <c r="B332" s="64"/>
      <c r="C332" s="64"/>
      <c r="D332" s="64"/>
      <c r="E332" s="64"/>
      <c r="F332" s="64"/>
      <c r="G332" s="64"/>
      <c r="H332" s="64"/>
      <c r="I332" s="67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 ht="12.75" customHeight="1">
      <c r="A333" s="64"/>
      <c r="B333" s="64"/>
      <c r="C333" s="64"/>
      <c r="D333" s="64"/>
      <c r="E333" s="64"/>
      <c r="F333" s="64"/>
      <c r="G333" s="64"/>
      <c r="H333" s="64"/>
      <c r="I333" s="67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 ht="12.75" customHeight="1">
      <c r="A334" s="64"/>
      <c r="B334" s="64"/>
      <c r="C334" s="64"/>
      <c r="D334" s="64"/>
      <c r="E334" s="64"/>
      <c r="F334" s="64"/>
      <c r="G334" s="64"/>
      <c r="H334" s="64"/>
      <c r="I334" s="67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 ht="12.75" customHeight="1">
      <c r="A335" s="64"/>
      <c r="B335" s="64"/>
      <c r="C335" s="64"/>
      <c r="D335" s="64"/>
      <c r="E335" s="64"/>
      <c r="F335" s="64"/>
      <c r="G335" s="64"/>
      <c r="H335" s="64"/>
      <c r="I335" s="67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 ht="12.75" customHeight="1">
      <c r="A336" s="64"/>
      <c r="B336" s="64"/>
      <c r="C336" s="64"/>
      <c r="D336" s="64"/>
      <c r="E336" s="64"/>
      <c r="F336" s="64"/>
      <c r="G336" s="64"/>
      <c r="H336" s="64"/>
      <c r="I336" s="67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 ht="12.75" customHeight="1">
      <c r="A337" s="64"/>
      <c r="B337" s="64"/>
      <c r="C337" s="64"/>
      <c r="D337" s="64"/>
      <c r="E337" s="64"/>
      <c r="F337" s="64"/>
      <c r="G337" s="64"/>
      <c r="H337" s="64"/>
      <c r="I337" s="67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 ht="12.75" customHeight="1">
      <c r="A338" s="64"/>
      <c r="B338" s="64"/>
      <c r="C338" s="64"/>
      <c r="D338" s="64"/>
      <c r="E338" s="64"/>
      <c r="F338" s="64"/>
      <c r="G338" s="64"/>
      <c r="H338" s="64"/>
      <c r="I338" s="67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 ht="12.75" customHeight="1">
      <c r="A339" s="64"/>
      <c r="B339" s="64"/>
      <c r="C339" s="64"/>
      <c r="D339" s="64"/>
      <c r="E339" s="64"/>
      <c r="F339" s="64"/>
      <c r="G339" s="64"/>
      <c r="H339" s="64"/>
      <c r="I339" s="67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 ht="12.75" customHeight="1">
      <c r="A340" s="64"/>
      <c r="B340" s="64"/>
      <c r="C340" s="64"/>
      <c r="D340" s="64"/>
      <c r="E340" s="64"/>
      <c r="F340" s="64"/>
      <c r="G340" s="64"/>
      <c r="H340" s="64"/>
      <c r="I340" s="67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 ht="12.75" customHeight="1">
      <c r="A341" s="64"/>
      <c r="B341" s="64"/>
      <c r="C341" s="64"/>
      <c r="D341" s="64"/>
      <c r="E341" s="64"/>
      <c r="F341" s="64"/>
      <c r="G341" s="64"/>
      <c r="H341" s="64"/>
      <c r="I341" s="67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 ht="12.75" customHeight="1">
      <c r="A342" s="64"/>
      <c r="B342" s="64"/>
      <c r="C342" s="64"/>
      <c r="D342" s="64"/>
      <c r="E342" s="64"/>
      <c r="F342" s="64"/>
      <c r="G342" s="64"/>
      <c r="H342" s="64"/>
      <c r="I342" s="67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 ht="12.75" customHeight="1">
      <c r="A343" s="64"/>
      <c r="B343" s="64"/>
      <c r="C343" s="64"/>
      <c r="D343" s="64"/>
      <c r="E343" s="64"/>
      <c r="F343" s="64"/>
      <c r="G343" s="64"/>
      <c r="H343" s="64"/>
      <c r="I343" s="67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 ht="12.75" customHeight="1">
      <c r="A344" s="64"/>
      <c r="B344" s="64"/>
      <c r="C344" s="64"/>
      <c r="D344" s="64"/>
      <c r="E344" s="64"/>
      <c r="F344" s="64"/>
      <c r="G344" s="64"/>
      <c r="H344" s="64"/>
      <c r="I344" s="67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 ht="12.75" customHeight="1">
      <c r="A345" s="64"/>
      <c r="B345" s="64"/>
      <c r="C345" s="64"/>
      <c r="D345" s="64"/>
      <c r="E345" s="64"/>
      <c r="F345" s="64"/>
      <c r="G345" s="64"/>
      <c r="H345" s="64"/>
      <c r="I345" s="67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 ht="12.75" customHeight="1">
      <c r="A346" s="64"/>
      <c r="B346" s="64"/>
      <c r="C346" s="64"/>
      <c r="D346" s="64"/>
      <c r="E346" s="64"/>
      <c r="F346" s="64"/>
      <c r="G346" s="64"/>
      <c r="H346" s="64"/>
      <c r="I346" s="67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 ht="12.75" customHeight="1">
      <c r="A347" s="64"/>
      <c r="B347" s="64"/>
      <c r="C347" s="64"/>
      <c r="D347" s="64"/>
      <c r="E347" s="64"/>
      <c r="F347" s="64"/>
      <c r="G347" s="64"/>
      <c r="H347" s="64"/>
      <c r="I347" s="67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 ht="12.75" customHeight="1">
      <c r="A348" s="64"/>
      <c r="B348" s="64"/>
      <c r="C348" s="64"/>
      <c r="D348" s="64"/>
      <c r="E348" s="64"/>
      <c r="F348" s="64"/>
      <c r="G348" s="64"/>
      <c r="H348" s="64"/>
      <c r="I348" s="67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 ht="12.75" customHeight="1">
      <c r="A349" s="64"/>
      <c r="B349" s="64"/>
      <c r="C349" s="64"/>
      <c r="D349" s="64"/>
      <c r="E349" s="64"/>
      <c r="F349" s="64"/>
      <c r="G349" s="64"/>
      <c r="H349" s="64"/>
      <c r="I349" s="67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 ht="12.75" customHeight="1">
      <c r="A350" s="64"/>
      <c r="B350" s="64"/>
      <c r="C350" s="64"/>
      <c r="D350" s="64"/>
      <c r="E350" s="64"/>
      <c r="F350" s="64"/>
      <c r="G350" s="64"/>
      <c r="H350" s="64"/>
      <c r="I350" s="67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 ht="12.75" customHeight="1">
      <c r="A351" s="64"/>
      <c r="B351" s="64"/>
      <c r="C351" s="64"/>
      <c r="D351" s="64"/>
      <c r="E351" s="64"/>
      <c r="F351" s="64"/>
      <c r="G351" s="64"/>
      <c r="H351" s="64"/>
      <c r="I351" s="67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 ht="12.75" customHeight="1">
      <c r="A352" s="64"/>
      <c r="B352" s="64"/>
      <c r="C352" s="64"/>
      <c r="D352" s="64"/>
      <c r="E352" s="64"/>
      <c r="F352" s="64"/>
      <c r="G352" s="64"/>
      <c r="H352" s="64"/>
      <c r="I352" s="67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 ht="12.75" customHeight="1">
      <c r="A353" s="64"/>
      <c r="B353" s="64"/>
      <c r="C353" s="64"/>
      <c r="D353" s="64"/>
      <c r="E353" s="64"/>
      <c r="F353" s="64"/>
      <c r="G353" s="64"/>
      <c r="H353" s="64"/>
      <c r="I353" s="67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 ht="12.75" customHeight="1">
      <c r="A354" s="64"/>
      <c r="B354" s="64"/>
      <c r="C354" s="64"/>
      <c r="D354" s="64"/>
      <c r="E354" s="64"/>
      <c r="F354" s="64"/>
      <c r="G354" s="64"/>
      <c r="H354" s="64"/>
      <c r="I354" s="67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 ht="12.75" customHeight="1">
      <c r="A355" s="64"/>
      <c r="B355" s="64"/>
      <c r="C355" s="64"/>
      <c r="D355" s="64"/>
      <c r="E355" s="64"/>
      <c r="F355" s="64"/>
      <c r="G355" s="64"/>
      <c r="H355" s="64"/>
      <c r="I355" s="67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 ht="12.75" customHeight="1">
      <c r="A356" s="64"/>
      <c r="B356" s="64"/>
      <c r="C356" s="64"/>
      <c r="D356" s="64"/>
      <c r="E356" s="64"/>
      <c r="F356" s="64"/>
      <c r="G356" s="64"/>
      <c r="H356" s="64"/>
      <c r="I356" s="67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 ht="12.75" customHeight="1">
      <c r="A357" s="64"/>
      <c r="B357" s="64"/>
      <c r="C357" s="64"/>
      <c r="D357" s="64"/>
      <c r="E357" s="64"/>
      <c r="F357" s="64"/>
      <c r="G357" s="64"/>
      <c r="H357" s="64"/>
      <c r="I357" s="67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 ht="12.75" customHeight="1">
      <c r="A358" s="64"/>
      <c r="B358" s="64"/>
      <c r="C358" s="64"/>
      <c r="D358" s="64"/>
      <c r="E358" s="64"/>
      <c r="F358" s="64"/>
      <c r="G358" s="64"/>
      <c r="H358" s="64"/>
      <c r="I358" s="67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 ht="12.75" customHeight="1">
      <c r="A359" s="64"/>
      <c r="B359" s="64"/>
      <c r="C359" s="64"/>
      <c r="D359" s="64"/>
      <c r="E359" s="64"/>
      <c r="F359" s="64"/>
      <c r="G359" s="64"/>
      <c r="H359" s="64"/>
      <c r="I359" s="67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 ht="12.75" customHeight="1">
      <c r="A360" s="64"/>
      <c r="B360" s="64"/>
      <c r="C360" s="64"/>
      <c r="D360" s="64"/>
      <c r="E360" s="64"/>
      <c r="F360" s="64"/>
      <c r="G360" s="64"/>
      <c r="H360" s="64"/>
      <c r="I360" s="67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 ht="12.75" customHeight="1">
      <c r="A361" s="64"/>
      <c r="B361" s="64"/>
      <c r="C361" s="64"/>
      <c r="D361" s="64"/>
      <c r="E361" s="64"/>
      <c r="F361" s="64"/>
      <c r="G361" s="64"/>
      <c r="H361" s="64"/>
      <c r="I361" s="67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 ht="12.75" customHeight="1">
      <c r="A362" s="64"/>
      <c r="B362" s="64"/>
      <c r="C362" s="64"/>
      <c r="D362" s="64"/>
      <c r="E362" s="64"/>
      <c r="F362" s="64"/>
      <c r="G362" s="64"/>
      <c r="H362" s="64"/>
      <c r="I362" s="67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 ht="12.75" customHeight="1">
      <c r="A363" s="64"/>
      <c r="B363" s="64"/>
      <c r="C363" s="64"/>
      <c r="D363" s="64"/>
      <c r="E363" s="64"/>
      <c r="F363" s="64"/>
      <c r="G363" s="64"/>
      <c r="H363" s="64"/>
      <c r="I363" s="67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 ht="12.75" customHeight="1">
      <c r="A364" s="64"/>
      <c r="B364" s="64"/>
      <c r="C364" s="64"/>
      <c r="D364" s="64"/>
      <c r="E364" s="64"/>
      <c r="F364" s="64"/>
      <c r="G364" s="64"/>
      <c r="H364" s="64"/>
      <c r="I364" s="67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 ht="12.75" customHeight="1">
      <c r="A365" s="64"/>
      <c r="B365" s="64"/>
      <c r="C365" s="64"/>
      <c r="D365" s="64"/>
      <c r="E365" s="64"/>
      <c r="F365" s="64"/>
      <c r="G365" s="64"/>
      <c r="H365" s="64"/>
      <c r="I365" s="67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 ht="12.75" customHeight="1">
      <c r="A366" s="64"/>
      <c r="B366" s="64"/>
      <c r="C366" s="64"/>
      <c r="D366" s="64"/>
      <c r="E366" s="64"/>
      <c r="F366" s="64"/>
      <c r="G366" s="64"/>
      <c r="H366" s="64"/>
      <c r="I366" s="67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 ht="12.75" customHeight="1">
      <c r="A367" s="64"/>
      <c r="B367" s="64"/>
      <c r="C367" s="64"/>
      <c r="D367" s="64"/>
      <c r="E367" s="64"/>
      <c r="F367" s="64"/>
      <c r="G367" s="64"/>
      <c r="H367" s="64"/>
      <c r="I367" s="67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 ht="12.75" customHeight="1">
      <c r="A368" s="64"/>
      <c r="B368" s="64"/>
      <c r="C368" s="64"/>
      <c r="D368" s="64"/>
      <c r="E368" s="64"/>
      <c r="F368" s="64"/>
      <c r="G368" s="64"/>
      <c r="H368" s="64"/>
      <c r="I368" s="67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 ht="12.75" customHeight="1">
      <c r="A369" s="64"/>
      <c r="B369" s="64"/>
      <c r="C369" s="64"/>
      <c r="D369" s="64"/>
      <c r="E369" s="64"/>
      <c r="F369" s="64"/>
      <c r="G369" s="64"/>
      <c r="H369" s="64"/>
      <c r="I369" s="67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 ht="12.75" customHeight="1">
      <c r="A370" s="64"/>
      <c r="B370" s="64"/>
      <c r="C370" s="64"/>
      <c r="D370" s="64"/>
      <c r="E370" s="64"/>
      <c r="F370" s="64"/>
      <c r="G370" s="64"/>
      <c r="H370" s="64"/>
      <c r="I370" s="67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 ht="12.75" customHeight="1">
      <c r="A371" s="64"/>
      <c r="B371" s="64"/>
      <c r="C371" s="64"/>
      <c r="D371" s="64"/>
      <c r="E371" s="64"/>
      <c r="F371" s="64"/>
      <c r="G371" s="64"/>
      <c r="H371" s="64"/>
      <c r="I371" s="67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 ht="12.75" customHeight="1">
      <c r="A372" s="64"/>
      <c r="B372" s="64"/>
      <c r="C372" s="64"/>
      <c r="D372" s="64"/>
      <c r="E372" s="64"/>
      <c r="F372" s="64"/>
      <c r="G372" s="64"/>
      <c r="H372" s="64"/>
      <c r="I372" s="67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 ht="12.75" customHeight="1">
      <c r="A373" s="64"/>
      <c r="B373" s="64"/>
      <c r="C373" s="64"/>
      <c r="D373" s="64"/>
      <c r="E373" s="64"/>
      <c r="F373" s="64"/>
      <c r="G373" s="64"/>
      <c r="H373" s="64"/>
      <c r="I373" s="67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 ht="12.75" customHeight="1">
      <c r="A374" s="64"/>
      <c r="B374" s="64"/>
      <c r="C374" s="64"/>
      <c r="D374" s="64"/>
      <c r="E374" s="64"/>
      <c r="F374" s="64"/>
      <c r="G374" s="64"/>
      <c r="H374" s="64"/>
      <c r="I374" s="67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 ht="12.75" customHeight="1">
      <c r="A375" s="64"/>
      <c r="B375" s="64"/>
      <c r="C375" s="64"/>
      <c r="D375" s="64"/>
      <c r="E375" s="64"/>
      <c r="F375" s="64"/>
      <c r="G375" s="64"/>
      <c r="H375" s="64"/>
      <c r="I375" s="67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 ht="12.75" customHeight="1">
      <c r="A376" s="64"/>
      <c r="B376" s="64"/>
      <c r="C376" s="64"/>
      <c r="D376" s="64"/>
      <c r="E376" s="64"/>
      <c r="F376" s="64"/>
      <c r="G376" s="64"/>
      <c r="H376" s="64"/>
      <c r="I376" s="67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 ht="12.75" customHeight="1">
      <c r="A377" s="64"/>
      <c r="B377" s="64"/>
      <c r="C377" s="64"/>
      <c r="D377" s="64"/>
      <c r="E377" s="64"/>
      <c r="F377" s="64"/>
      <c r="G377" s="64"/>
      <c r="H377" s="64"/>
      <c r="I377" s="67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 ht="12.75" customHeight="1">
      <c r="A378" s="64"/>
      <c r="B378" s="64"/>
      <c r="C378" s="64"/>
      <c r="D378" s="64"/>
      <c r="E378" s="64"/>
      <c r="F378" s="64"/>
      <c r="G378" s="64"/>
      <c r="H378" s="64"/>
      <c r="I378" s="67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 ht="12.75" customHeight="1">
      <c r="A379" s="64"/>
      <c r="B379" s="64"/>
      <c r="C379" s="64"/>
      <c r="D379" s="64"/>
      <c r="E379" s="64"/>
      <c r="F379" s="64"/>
      <c r="G379" s="64"/>
      <c r="H379" s="64"/>
      <c r="I379" s="67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 ht="12.75" customHeight="1">
      <c r="A380" s="64"/>
      <c r="B380" s="64"/>
      <c r="C380" s="64"/>
      <c r="D380" s="64"/>
      <c r="E380" s="64"/>
      <c r="F380" s="64"/>
      <c r="G380" s="64"/>
      <c r="H380" s="64"/>
      <c r="I380" s="67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 ht="12.75" customHeight="1">
      <c r="A381" s="64"/>
      <c r="B381" s="64"/>
      <c r="C381" s="64"/>
      <c r="D381" s="64"/>
      <c r="E381" s="64"/>
      <c r="F381" s="64"/>
      <c r="G381" s="64"/>
      <c r="H381" s="64"/>
      <c r="I381" s="67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 ht="12.75" customHeight="1">
      <c r="A382" s="64"/>
      <c r="B382" s="64"/>
      <c r="C382" s="64"/>
      <c r="D382" s="64"/>
      <c r="E382" s="64"/>
      <c r="F382" s="64"/>
      <c r="G382" s="64"/>
      <c r="H382" s="64"/>
      <c r="I382" s="67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 ht="12.75" customHeight="1">
      <c r="A383" s="64"/>
      <c r="B383" s="64"/>
      <c r="C383" s="64"/>
      <c r="D383" s="64"/>
      <c r="E383" s="64"/>
      <c r="F383" s="64"/>
      <c r="G383" s="64"/>
      <c r="H383" s="64"/>
      <c r="I383" s="67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 ht="12.75" customHeight="1">
      <c r="A384" s="64"/>
      <c r="B384" s="64"/>
      <c r="C384" s="64"/>
      <c r="D384" s="64"/>
      <c r="E384" s="64"/>
      <c r="F384" s="64"/>
      <c r="G384" s="64"/>
      <c r="H384" s="64"/>
      <c r="I384" s="67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 ht="12.75" customHeight="1">
      <c r="A385" s="64"/>
      <c r="B385" s="64"/>
      <c r="C385" s="64"/>
      <c r="D385" s="64"/>
      <c r="E385" s="64"/>
      <c r="F385" s="64"/>
      <c r="G385" s="64"/>
      <c r="H385" s="64"/>
      <c r="I385" s="67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 ht="12.75" customHeight="1">
      <c r="A386" s="64"/>
      <c r="B386" s="64"/>
      <c r="C386" s="64"/>
      <c r="D386" s="64"/>
      <c r="E386" s="64"/>
      <c r="F386" s="64"/>
      <c r="G386" s="64"/>
      <c r="H386" s="64"/>
      <c r="I386" s="67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 ht="12.75" customHeight="1">
      <c r="A387" s="64"/>
      <c r="B387" s="64"/>
      <c r="C387" s="64"/>
      <c r="D387" s="64"/>
      <c r="E387" s="64"/>
      <c r="F387" s="64"/>
      <c r="G387" s="64"/>
      <c r="H387" s="64"/>
      <c r="I387" s="67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 ht="12.75" customHeight="1">
      <c r="A388" s="64"/>
      <c r="B388" s="64"/>
      <c r="C388" s="64"/>
      <c r="D388" s="64"/>
      <c r="E388" s="64"/>
      <c r="F388" s="64"/>
      <c r="G388" s="64"/>
      <c r="H388" s="64"/>
      <c r="I388" s="67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 ht="12.75" customHeight="1">
      <c r="A389" s="64"/>
      <c r="B389" s="64"/>
      <c r="C389" s="64"/>
      <c r="D389" s="64"/>
      <c r="E389" s="64"/>
      <c r="F389" s="64"/>
      <c r="G389" s="64"/>
      <c r="H389" s="64"/>
      <c r="I389" s="67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 ht="12.75" customHeight="1">
      <c r="A390" s="64"/>
      <c r="B390" s="64"/>
      <c r="C390" s="64"/>
      <c r="D390" s="64"/>
      <c r="E390" s="64"/>
      <c r="F390" s="64"/>
      <c r="G390" s="64"/>
      <c r="H390" s="64"/>
      <c r="I390" s="67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 ht="12.75" customHeight="1">
      <c r="A391" s="64"/>
      <c r="B391" s="64"/>
      <c r="C391" s="64"/>
      <c r="D391" s="64"/>
      <c r="E391" s="64"/>
      <c r="F391" s="64"/>
      <c r="G391" s="64"/>
      <c r="H391" s="64"/>
      <c r="I391" s="67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 ht="12.75" customHeight="1">
      <c r="A392" s="64"/>
      <c r="B392" s="64"/>
      <c r="C392" s="64"/>
      <c r="D392" s="64"/>
      <c r="E392" s="64"/>
      <c r="F392" s="64"/>
      <c r="G392" s="64"/>
      <c r="H392" s="64"/>
      <c r="I392" s="67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 ht="12.75" customHeight="1">
      <c r="A393" s="64"/>
      <c r="B393" s="64"/>
      <c r="C393" s="64"/>
      <c r="D393" s="64"/>
      <c r="E393" s="64"/>
      <c r="F393" s="64"/>
      <c r="G393" s="64"/>
      <c r="H393" s="64"/>
      <c r="I393" s="67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 ht="12.75" customHeight="1">
      <c r="A394" s="64"/>
      <c r="B394" s="64"/>
      <c r="C394" s="64"/>
      <c r="D394" s="64"/>
      <c r="E394" s="64"/>
      <c r="F394" s="64"/>
      <c r="G394" s="64"/>
      <c r="H394" s="64"/>
      <c r="I394" s="67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 ht="12.75" customHeight="1">
      <c r="A395" s="64"/>
      <c r="B395" s="64"/>
      <c r="C395" s="64"/>
      <c r="D395" s="64"/>
      <c r="E395" s="64"/>
      <c r="F395" s="64"/>
      <c r="G395" s="64"/>
      <c r="H395" s="64"/>
      <c r="I395" s="67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 ht="12.75" customHeight="1">
      <c r="A396" s="64"/>
      <c r="B396" s="64"/>
      <c r="C396" s="64"/>
      <c r="D396" s="64"/>
      <c r="E396" s="64"/>
      <c r="F396" s="64"/>
      <c r="G396" s="64"/>
      <c r="H396" s="64"/>
      <c r="I396" s="67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 ht="12.75" customHeight="1">
      <c r="A397" s="64"/>
      <c r="B397" s="64"/>
      <c r="C397" s="64"/>
      <c r="D397" s="64"/>
      <c r="E397" s="64"/>
      <c r="F397" s="64"/>
      <c r="G397" s="64"/>
      <c r="H397" s="64"/>
      <c r="I397" s="67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 ht="12.75" customHeight="1">
      <c r="A398" s="64"/>
      <c r="B398" s="64"/>
      <c r="C398" s="64"/>
      <c r="D398" s="64"/>
      <c r="E398" s="64"/>
      <c r="F398" s="64"/>
      <c r="G398" s="64"/>
      <c r="H398" s="64"/>
      <c r="I398" s="67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 ht="12.75" customHeight="1">
      <c r="A399" s="64"/>
      <c r="B399" s="64"/>
      <c r="C399" s="64"/>
      <c r="D399" s="64"/>
      <c r="E399" s="64"/>
      <c r="F399" s="64"/>
      <c r="G399" s="64"/>
      <c r="H399" s="64"/>
      <c r="I399" s="67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 ht="12.75" customHeight="1">
      <c r="A400" s="64"/>
      <c r="B400" s="64"/>
      <c r="C400" s="64"/>
      <c r="D400" s="64"/>
      <c r="E400" s="64"/>
      <c r="F400" s="64"/>
      <c r="G400" s="64"/>
      <c r="H400" s="64"/>
      <c r="I400" s="67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 ht="12.75" customHeight="1">
      <c r="A401" s="64"/>
      <c r="B401" s="64"/>
      <c r="C401" s="64"/>
      <c r="D401" s="64"/>
      <c r="E401" s="64"/>
      <c r="F401" s="64"/>
      <c r="G401" s="64"/>
      <c r="H401" s="64"/>
      <c r="I401" s="67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 ht="12.75" customHeight="1">
      <c r="A402" s="64"/>
      <c r="B402" s="64"/>
      <c r="C402" s="64"/>
      <c r="D402" s="64"/>
      <c r="E402" s="64"/>
      <c r="F402" s="64"/>
      <c r="G402" s="64"/>
      <c r="H402" s="64"/>
      <c r="I402" s="67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 ht="12.75" customHeight="1">
      <c r="A403" s="64"/>
      <c r="B403" s="64"/>
      <c r="C403" s="64"/>
      <c r="D403" s="64"/>
      <c r="E403" s="64"/>
      <c r="F403" s="64"/>
      <c r="G403" s="64"/>
      <c r="H403" s="64"/>
      <c r="I403" s="67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 ht="12.75" customHeight="1">
      <c r="A404" s="64"/>
      <c r="B404" s="64"/>
      <c r="C404" s="64"/>
      <c r="D404" s="64"/>
      <c r="E404" s="64"/>
      <c r="F404" s="64"/>
      <c r="G404" s="64"/>
      <c r="H404" s="64"/>
      <c r="I404" s="67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 ht="12.75" customHeight="1">
      <c r="A405" s="64"/>
      <c r="B405" s="64"/>
      <c r="C405" s="64"/>
      <c r="D405" s="64"/>
      <c r="E405" s="64"/>
      <c r="F405" s="64"/>
      <c r="G405" s="64"/>
      <c r="H405" s="64"/>
      <c r="I405" s="67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 ht="12.75" customHeight="1">
      <c r="A406" s="64"/>
      <c r="B406" s="64"/>
      <c r="C406" s="64"/>
      <c r="D406" s="64"/>
      <c r="E406" s="64"/>
      <c r="F406" s="64"/>
      <c r="G406" s="64"/>
      <c r="H406" s="64"/>
      <c r="I406" s="67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 ht="12.75" customHeight="1">
      <c r="A407" s="64"/>
      <c r="B407" s="64"/>
      <c r="C407" s="64"/>
      <c r="D407" s="64"/>
      <c r="E407" s="64"/>
      <c r="F407" s="64"/>
      <c r="G407" s="64"/>
      <c r="H407" s="64"/>
      <c r="I407" s="67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 ht="12.75" customHeight="1">
      <c r="A408" s="64"/>
      <c r="B408" s="64"/>
      <c r="C408" s="64"/>
      <c r="D408" s="64"/>
      <c r="E408" s="64"/>
      <c r="F408" s="64"/>
      <c r="G408" s="64"/>
      <c r="H408" s="64"/>
      <c r="I408" s="67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 ht="12.75" customHeight="1">
      <c r="A409" s="64"/>
      <c r="B409" s="64"/>
      <c r="C409" s="64"/>
      <c r="D409" s="64"/>
      <c r="E409" s="64"/>
      <c r="F409" s="64"/>
      <c r="G409" s="64"/>
      <c r="H409" s="64"/>
      <c r="I409" s="67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 ht="12.75" customHeight="1">
      <c r="A410" s="64"/>
      <c r="B410" s="64"/>
      <c r="C410" s="64"/>
      <c r="D410" s="64"/>
      <c r="E410" s="64"/>
      <c r="F410" s="64"/>
      <c r="G410" s="64"/>
      <c r="H410" s="64"/>
      <c r="I410" s="67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 ht="12.75" customHeight="1">
      <c r="A411" s="64"/>
      <c r="B411" s="64"/>
      <c r="C411" s="64"/>
      <c r="D411" s="64"/>
      <c r="E411" s="64"/>
      <c r="F411" s="64"/>
      <c r="G411" s="64"/>
      <c r="H411" s="64"/>
      <c r="I411" s="67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 ht="12.75" customHeight="1">
      <c r="A412" s="64"/>
      <c r="B412" s="64"/>
      <c r="C412" s="64"/>
      <c r="D412" s="64"/>
      <c r="E412" s="64"/>
      <c r="F412" s="64"/>
      <c r="G412" s="64"/>
      <c r="H412" s="64"/>
      <c r="I412" s="67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 ht="12.75" customHeight="1">
      <c r="A413" s="64"/>
      <c r="B413" s="64"/>
      <c r="C413" s="64"/>
      <c r="D413" s="64"/>
      <c r="E413" s="64"/>
      <c r="F413" s="64"/>
      <c r="G413" s="64"/>
      <c r="H413" s="64"/>
      <c r="I413" s="67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 ht="12.75" customHeight="1">
      <c r="A414" s="64"/>
      <c r="B414" s="64"/>
      <c r="C414" s="64"/>
      <c r="D414" s="64"/>
      <c r="E414" s="64"/>
      <c r="F414" s="64"/>
      <c r="G414" s="64"/>
      <c r="H414" s="64"/>
      <c r="I414" s="67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 ht="12.75" customHeight="1">
      <c r="A415" s="64"/>
      <c r="B415" s="64"/>
      <c r="C415" s="64"/>
      <c r="D415" s="64"/>
      <c r="E415" s="64"/>
      <c r="F415" s="64"/>
      <c r="G415" s="64"/>
      <c r="H415" s="64"/>
      <c r="I415" s="67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 ht="12.75" customHeight="1">
      <c r="A416" s="64"/>
      <c r="B416" s="64"/>
      <c r="C416" s="64"/>
      <c r="D416" s="64"/>
      <c r="E416" s="64"/>
      <c r="F416" s="64"/>
      <c r="G416" s="64"/>
      <c r="H416" s="64"/>
      <c r="I416" s="67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 ht="12.75" customHeight="1">
      <c r="A417" s="64"/>
      <c r="B417" s="64"/>
      <c r="C417" s="64"/>
      <c r="D417" s="64"/>
      <c r="E417" s="64"/>
      <c r="F417" s="64"/>
      <c r="G417" s="64"/>
      <c r="H417" s="64"/>
      <c r="I417" s="67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 ht="12.75" customHeight="1">
      <c r="A418" s="64"/>
      <c r="B418" s="64"/>
      <c r="C418" s="64"/>
      <c r="D418" s="64"/>
      <c r="E418" s="64"/>
      <c r="F418" s="64"/>
      <c r="G418" s="64"/>
      <c r="H418" s="64"/>
      <c r="I418" s="67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 ht="12.75" customHeight="1">
      <c r="A419" s="64"/>
      <c r="B419" s="64"/>
      <c r="C419" s="64"/>
      <c r="D419" s="64"/>
      <c r="E419" s="64"/>
      <c r="F419" s="64"/>
      <c r="G419" s="64"/>
      <c r="H419" s="64"/>
      <c r="I419" s="67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 ht="12.75" customHeight="1">
      <c r="A420" s="64"/>
      <c r="B420" s="64"/>
      <c r="C420" s="64"/>
      <c r="D420" s="64"/>
      <c r="E420" s="64"/>
      <c r="F420" s="64"/>
      <c r="G420" s="64"/>
      <c r="H420" s="64"/>
      <c r="I420" s="67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 ht="12.75" customHeight="1">
      <c r="A421" s="64"/>
      <c r="B421" s="64"/>
      <c r="C421" s="64"/>
      <c r="D421" s="64"/>
      <c r="E421" s="64"/>
      <c r="F421" s="64"/>
      <c r="G421" s="64"/>
      <c r="H421" s="64"/>
      <c r="I421" s="67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 ht="12.75" customHeight="1">
      <c r="A422" s="64"/>
      <c r="B422" s="64"/>
      <c r="C422" s="64"/>
      <c r="D422" s="64"/>
      <c r="E422" s="64"/>
      <c r="F422" s="64"/>
      <c r="G422" s="64"/>
      <c r="H422" s="64"/>
      <c r="I422" s="67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 ht="12.75" customHeight="1">
      <c r="A423" s="64"/>
      <c r="B423" s="64"/>
      <c r="C423" s="64"/>
      <c r="D423" s="64"/>
      <c r="E423" s="64"/>
      <c r="F423" s="64"/>
      <c r="G423" s="64"/>
      <c r="H423" s="64"/>
      <c r="I423" s="67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 ht="12.75" customHeight="1">
      <c r="A424" s="64"/>
      <c r="B424" s="64"/>
      <c r="C424" s="64"/>
      <c r="D424" s="64"/>
      <c r="E424" s="64"/>
      <c r="F424" s="64"/>
      <c r="G424" s="64"/>
      <c r="H424" s="64"/>
      <c r="I424" s="67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 ht="12.75" customHeight="1">
      <c r="A425" s="64"/>
      <c r="B425" s="64"/>
      <c r="C425" s="64"/>
      <c r="D425" s="64"/>
      <c r="E425" s="64"/>
      <c r="F425" s="64"/>
      <c r="G425" s="64"/>
      <c r="H425" s="64"/>
      <c r="I425" s="67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 ht="12.75" customHeight="1">
      <c r="A426" s="64"/>
      <c r="B426" s="64"/>
      <c r="C426" s="64"/>
      <c r="D426" s="64"/>
      <c r="E426" s="64"/>
      <c r="F426" s="64"/>
      <c r="G426" s="64"/>
      <c r="H426" s="64"/>
      <c r="I426" s="67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 ht="12.75" customHeight="1">
      <c r="A427" s="64"/>
      <c r="B427" s="64"/>
      <c r="C427" s="64"/>
      <c r="D427" s="64"/>
      <c r="E427" s="64"/>
      <c r="F427" s="64"/>
      <c r="G427" s="64"/>
      <c r="H427" s="64"/>
      <c r="I427" s="67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 ht="12.75" customHeight="1">
      <c r="A428" s="64"/>
      <c r="B428" s="64"/>
      <c r="C428" s="64"/>
      <c r="D428" s="64"/>
      <c r="E428" s="64"/>
      <c r="F428" s="64"/>
      <c r="G428" s="64"/>
      <c r="H428" s="64"/>
      <c r="I428" s="67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 ht="12.75" customHeight="1">
      <c r="A429" s="64"/>
      <c r="B429" s="64"/>
      <c r="C429" s="64"/>
      <c r="D429" s="64"/>
      <c r="E429" s="64"/>
      <c r="F429" s="64"/>
      <c r="G429" s="64"/>
      <c r="H429" s="64"/>
      <c r="I429" s="67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 ht="12.75" customHeight="1">
      <c r="A430" s="64"/>
      <c r="B430" s="64"/>
      <c r="C430" s="64"/>
      <c r="D430" s="64"/>
      <c r="E430" s="64"/>
      <c r="F430" s="64"/>
      <c r="G430" s="64"/>
      <c r="H430" s="64"/>
      <c r="I430" s="67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 ht="12.75" customHeight="1">
      <c r="A431" s="64"/>
      <c r="B431" s="64"/>
      <c r="C431" s="64"/>
      <c r="D431" s="64"/>
      <c r="E431" s="64"/>
      <c r="F431" s="64"/>
      <c r="G431" s="64"/>
      <c r="H431" s="64"/>
      <c r="I431" s="67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 ht="12.75" customHeight="1">
      <c r="A432" s="64"/>
      <c r="B432" s="64"/>
      <c r="C432" s="64"/>
      <c r="D432" s="64"/>
      <c r="E432" s="64"/>
      <c r="F432" s="64"/>
      <c r="G432" s="64"/>
      <c r="H432" s="64"/>
      <c r="I432" s="67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 ht="12.75" customHeight="1">
      <c r="A433" s="64"/>
      <c r="B433" s="64"/>
      <c r="C433" s="64"/>
      <c r="D433" s="64"/>
      <c r="E433" s="64"/>
      <c r="F433" s="64"/>
      <c r="G433" s="64"/>
      <c r="H433" s="64"/>
      <c r="I433" s="67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 ht="12.75" customHeight="1">
      <c r="A434" s="64"/>
      <c r="B434" s="64"/>
      <c r="C434" s="64"/>
      <c r="D434" s="64"/>
      <c r="E434" s="64"/>
      <c r="F434" s="64"/>
      <c r="G434" s="64"/>
      <c r="H434" s="64"/>
      <c r="I434" s="67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 ht="12.75" customHeight="1">
      <c r="A435" s="64"/>
      <c r="B435" s="64"/>
      <c r="C435" s="64"/>
      <c r="D435" s="64"/>
      <c r="E435" s="64"/>
      <c r="F435" s="64"/>
      <c r="G435" s="64"/>
      <c r="H435" s="64"/>
      <c r="I435" s="67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 ht="12.75" customHeight="1">
      <c r="A436" s="64"/>
      <c r="B436" s="64"/>
      <c r="C436" s="64"/>
      <c r="D436" s="64"/>
      <c r="E436" s="64"/>
      <c r="F436" s="64"/>
      <c r="G436" s="64"/>
      <c r="H436" s="64"/>
      <c r="I436" s="67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 ht="12.75" customHeight="1">
      <c r="A437" s="64"/>
      <c r="B437" s="64"/>
      <c r="C437" s="64"/>
      <c r="D437" s="64"/>
      <c r="E437" s="64"/>
      <c r="F437" s="64"/>
      <c r="G437" s="64"/>
      <c r="H437" s="64"/>
      <c r="I437" s="67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 ht="12.75" customHeight="1">
      <c r="A438" s="64"/>
      <c r="B438" s="64"/>
      <c r="C438" s="64"/>
      <c r="D438" s="64"/>
      <c r="E438" s="64"/>
      <c r="F438" s="64"/>
      <c r="G438" s="64"/>
      <c r="H438" s="64"/>
      <c r="I438" s="67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 ht="12.75" customHeight="1">
      <c r="A439" s="64"/>
      <c r="B439" s="64"/>
      <c r="C439" s="64"/>
      <c r="D439" s="64"/>
      <c r="E439" s="64"/>
      <c r="F439" s="64"/>
      <c r="G439" s="64"/>
      <c r="H439" s="64"/>
      <c r="I439" s="67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 ht="12.75" customHeight="1">
      <c r="A440" s="64"/>
      <c r="B440" s="64"/>
      <c r="C440" s="64"/>
      <c r="D440" s="64"/>
      <c r="E440" s="64"/>
      <c r="F440" s="64"/>
      <c r="G440" s="64"/>
      <c r="H440" s="64"/>
      <c r="I440" s="67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 ht="12.75" customHeight="1">
      <c r="A441" s="64"/>
      <c r="B441" s="64"/>
      <c r="C441" s="64"/>
      <c r="D441" s="64"/>
      <c r="E441" s="64"/>
      <c r="F441" s="64"/>
      <c r="G441" s="64"/>
      <c r="H441" s="64"/>
      <c r="I441" s="67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 ht="12.75" customHeight="1">
      <c r="A442" s="64"/>
      <c r="B442" s="64"/>
      <c r="C442" s="64"/>
      <c r="D442" s="64"/>
      <c r="E442" s="64"/>
      <c r="F442" s="64"/>
      <c r="G442" s="64"/>
      <c r="H442" s="64"/>
      <c r="I442" s="67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 ht="12.75" customHeight="1">
      <c r="A443" s="64"/>
      <c r="B443" s="64"/>
      <c r="C443" s="64"/>
      <c r="D443" s="64"/>
      <c r="E443" s="64"/>
      <c r="F443" s="64"/>
      <c r="G443" s="64"/>
      <c r="H443" s="64"/>
      <c r="I443" s="67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 ht="12.75" customHeight="1">
      <c r="A444" s="64"/>
      <c r="B444" s="64"/>
      <c r="C444" s="64"/>
      <c r="D444" s="64"/>
      <c r="E444" s="64"/>
      <c r="F444" s="64"/>
      <c r="G444" s="64"/>
      <c r="H444" s="64"/>
      <c r="I444" s="67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 ht="12.75" customHeight="1">
      <c r="A445" s="64"/>
      <c r="B445" s="64"/>
      <c r="C445" s="64"/>
      <c r="D445" s="64"/>
      <c r="E445" s="64"/>
      <c r="F445" s="64"/>
      <c r="G445" s="64"/>
      <c r="H445" s="64"/>
      <c r="I445" s="67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 ht="12.75" customHeight="1">
      <c r="A446" s="64"/>
      <c r="B446" s="64"/>
      <c r="C446" s="64"/>
      <c r="D446" s="64"/>
      <c r="E446" s="64"/>
      <c r="F446" s="64"/>
      <c r="G446" s="64"/>
      <c r="H446" s="64"/>
      <c r="I446" s="67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 ht="12.75" customHeight="1">
      <c r="A447" s="64"/>
      <c r="B447" s="64"/>
      <c r="C447" s="64"/>
      <c r="D447" s="64"/>
      <c r="E447" s="64"/>
      <c r="F447" s="64"/>
      <c r="G447" s="64"/>
      <c r="H447" s="64"/>
      <c r="I447" s="67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 ht="12.75" customHeight="1">
      <c r="A448" s="64"/>
      <c r="B448" s="64"/>
      <c r="C448" s="64"/>
      <c r="D448" s="64"/>
      <c r="E448" s="64"/>
      <c r="F448" s="64"/>
      <c r="G448" s="64"/>
      <c r="H448" s="64"/>
      <c r="I448" s="67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 ht="12.75" customHeight="1">
      <c r="A449" s="64"/>
      <c r="B449" s="64"/>
      <c r="C449" s="64"/>
      <c r="D449" s="64"/>
      <c r="E449" s="64"/>
      <c r="F449" s="64"/>
      <c r="G449" s="64"/>
      <c r="H449" s="64"/>
      <c r="I449" s="67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 ht="12.75" customHeight="1">
      <c r="A450" s="64"/>
      <c r="B450" s="64"/>
      <c r="C450" s="64"/>
      <c r="D450" s="64"/>
      <c r="E450" s="64"/>
      <c r="F450" s="64"/>
      <c r="G450" s="64"/>
      <c r="H450" s="64"/>
      <c r="I450" s="67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 ht="12.75" customHeight="1">
      <c r="A451" s="64"/>
      <c r="B451" s="64"/>
      <c r="C451" s="64"/>
      <c r="D451" s="64"/>
      <c r="E451" s="64"/>
      <c r="F451" s="64"/>
      <c r="G451" s="64"/>
      <c r="H451" s="64"/>
      <c r="I451" s="67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 ht="12.75" customHeight="1">
      <c r="A452" s="64"/>
      <c r="B452" s="64"/>
      <c r="C452" s="64"/>
      <c r="D452" s="64"/>
      <c r="E452" s="64"/>
      <c r="F452" s="64"/>
      <c r="G452" s="64"/>
      <c r="H452" s="64"/>
      <c r="I452" s="67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 ht="12.75" customHeight="1">
      <c r="A453" s="64"/>
      <c r="B453" s="64"/>
      <c r="C453" s="64"/>
      <c r="D453" s="64"/>
      <c r="E453" s="64"/>
      <c r="F453" s="64"/>
      <c r="G453" s="64"/>
      <c r="H453" s="64"/>
      <c r="I453" s="67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 ht="12.75" customHeight="1">
      <c r="A454" s="64"/>
      <c r="B454" s="64"/>
      <c r="C454" s="64"/>
      <c r="D454" s="64"/>
      <c r="E454" s="64"/>
      <c r="F454" s="64"/>
      <c r="G454" s="64"/>
      <c r="H454" s="64"/>
      <c r="I454" s="67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 ht="12.75" customHeight="1">
      <c r="A455" s="64"/>
      <c r="B455" s="64"/>
      <c r="C455" s="64"/>
      <c r="D455" s="64"/>
      <c r="E455" s="64"/>
      <c r="F455" s="64"/>
      <c r="G455" s="64"/>
      <c r="H455" s="64"/>
      <c r="I455" s="67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 ht="12.75" customHeight="1">
      <c r="A456" s="64"/>
      <c r="B456" s="64"/>
      <c r="C456" s="64"/>
      <c r="D456" s="64"/>
      <c r="E456" s="64"/>
      <c r="F456" s="64"/>
      <c r="G456" s="64"/>
      <c r="H456" s="64"/>
      <c r="I456" s="67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 ht="12.75" customHeight="1">
      <c r="A457" s="64"/>
      <c r="B457" s="64"/>
      <c r="C457" s="64"/>
      <c r="D457" s="64"/>
      <c r="E457" s="64"/>
      <c r="F457" s="64"/>
      <c r="G457" s="64"/>
      <c r="H457" s="64"/>
      <c r="I457" s="67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 ht="12.75" customHeight="1">
      <c r="A458" s="64"/>
      <c r="B458" s="64"/>
      <c r="C458" s="64"/>
      <c r="D458" s="64"/>
      <c r="E458" s="64"/>
      <c r="F458" s="64"/>
      <c r="G458" s="64"/>
      <c r="H458" s="64"/>
      <c r="I458" s="67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 ht="12.75" customHeight="1">
      <c r="A459" s="64"/>
      <c r="B459" s="64"/>
      <c r="C459" s="64"/>
      <c r="D459" s="64"/>
      <c r="E459" s="64"/>
      <c r="F459" s="64"/>
      <c r="G459" s="64"/>
      <c r="H459" s="64"/>
      <c r="I459" s="67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 ht="12.75" customHeight="1">
      <c r="A460" s="64"/>
      <c r="B460" s="64"/>
      <c r="C460" s="64"/>
      <c r="D460" s="64"/>
      <c r="E460" s="64"/>
      <c r="F460" s="64"/>
      <c r="G460" s="64"/>
      <c r="H460" s="64"/>
      <c r="I460" s="67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 ht="12.75" customHeight="1">
      <c r="A461" s="64"/>
      <c r="B461" s="64"/>
      <c r="C461" s="64"/>
      <c r="D461" s="64"/>
      <c r="E461" s="64"/>
      <c r="F461" s="64"/>
      <c r="G461" s="64"/>
      <c r="H461" s="64"/>
      <c r="I461" s="67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 ht="12.75" customHeight="1">
      <c r="A462" s="64"/>
      <c r="B462" s="64"/>
      <c r="C462" s="64"/>
      <c r="D462" s="64"/>
      <c r="E462" s="64"/>
      <c r="F462" s="64"/>
      <c r="G462" s="64"/>
      <c r="H462" s="64"/>
      <c r="I462" s="67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 ht="12.75" customHeight="1">
      <c r="A463" s="64"/>
      <c r="B463" s="64"/>
      <c r="C463" s="64"/>
      <c r="D463" s="64"/>
      <c r="E463" s="64"/>
      <c r="F463" s="64"/>
      <c r="G463" s="64"/>
      <c r="H463" s="64"/>
      <c r="I463" s="67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 ht="12.75" customHeight="1">
      <c r="A464" s="64"/>
      <c r="B464" s="64"/>
      <c r="C464" s="64"/>
      <c r="D464" s="64"/>
      <c r="E464" s="64"/>
      <c r="F464" s="64"/>
      <c r="G464" s="64"/>
      <c r="H464" s="64"/>
      <c r="I464" s="67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 ht="12.75" customHeight="1">
      <c r="A465" s="64"/>
      <c r="B465" s="64"/>
      <c r="C465" s="64"/>
      <c r="D465" s="64"/>
      <c r="E465" s="64"/>
      <c r="F465" s="64"/>
      <c r="G465" s="64"/>
      <c r="H465" s="64"/>
      <c r="I465" s="67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 ht="12.75" customHeight="1">
      <c r="A466" s="64"/>
      <c r="B466" s="64"/>
      <c r="C466" s="64"/>
      <c r="D466" s="64"/>
      <c r="E466" s="64"/>
      <c r="F466" s="64"/>
      <c r="G466" s="64"/>
      <c r="H466" s="64"/>
      <c r="I466" s="67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 ht="12.75" customHeight="1">
      <c r="A467" s="64"/>
      <c r="B467" s="64"/>
      <c r="C467" s="64"/>
      <c r="D467" s="64"/>
      <c r="E467" s="64"/>
      <c r="F467" s="64"/>
      <c r="G467" s="64"/>
      <c r="H467" s="64"/>
      <c r="I467" s="67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 ht="12.75" customHeight="1">
      <c r="A468" s="64"/>
      <c r="B468" s="64"/>
      <c r="C468" s="64"/>
      <c r="D468" s="64"/>
      <c r="E468" s="64"/>
      <c r="F468" s="64"/>
      <c r="G468" s="64"/>
      <c r="H468" s="64"/>
      <c r="I468" s="67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 ht="12.75" customHeight="1">
      <c r="A469" s="64"/>
      <c r="B469" s="64"/>
      <c r="C469" s="64"/>
      <c r="D469" s="64"/>
      <c r="E469" s="64"/>
      <c r="F469" s="64"/>
      <c r="G469" s="64"/>
      <c r="H469" s="64"/>
      <c r="I469" s="67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 ht="12.75" customHeight="1">
      <c r="A470" s="64"/>
      <c r="B470" s="64"/>
      <c r="C470" s="64"/>
      <c r="D470" s="64"/>
      <c r="E470" s="64"/>
      <c r="F470" s="64"/>
      <c r="G470" s="64"/>
      <c r="H470" s="64"/>
      <c r="I470" s="67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 ht="12.75" customHeight="1">
      <c r="A471" s="64"/>
      <c r="B471" s="64"/>
      <c r="C471" s="64"/>
      <c r="D471" s="64"/>
      <c r="E471" s="64"/>
      <c r="F471" s="64"/>
      <c r="G471" s="64"/>
      <c r="H471" s="64"/>
      <c r="I471" s="67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 ht="12.75" customHeight="1">
      <c r="A472" s="64"/>
      <c r="B472" s="64"/>
      <c r="C472" s="64"/>
      <c r="D472" s="64"/>
      <c r="E472" s="64"/>
      <c r="F472" s="64"/>
      <c r="G472" s="64"/>
      <c r="H472" s="64"/>
      <c r="I472" s="67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 ht="12.75" customHeight="1">
      <c r="A473" s="64"/>
      <c r="B473" s="64"/>
      <c r="C473" s="64"/>
      <c r="D473" s="64"/>
      <c r="E473" s="64"/>
      <c r="F473" s="64"/>
      <c r="G473" s="64"/>
      <c r="H473" s="64"/>
      <c r="I473" s="67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 ht="12.75" customHeight="1">
      <c r="A474" s="64"/>
      <c r="B474" s="64"/>
      <c r="C474" s="64"/>
      <c r="D474" s="64"/>
      <c r="E474" s="64"/>
      <c r="F474" s="64"/>
      <c r="G474" s="64"/>
      <c r="H474" s="64"/>
      <c r="I474" s="67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 ht="12.75" customHeight="1">
      <c r="A475" s="64"/>
      <c r="B475" s="64"/>
      <c r="C475" s="64"/>
      <c r="D475" s="64"/>
      <c r="E475" s="64"/>
      <c r="F475" s="64"/>
      <c r="G475" s="64"/>
      <c r="H475" s="64"/>
      <c r="I475" s="67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 ht="12.75" customHeight="1">
      <c r="A476" s="64"/>
      <c r="B476" s="64"/>
      <c r="C476" s="64"/>
      <c r="D476" s="64"/>
      <c r="E476" s="64"/>
      <c r="F476" s="64"/>
      <c r="G476" s="64"/>
      <c r="H476" s="64"/>
      <c r="I476" s="67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 ht="12.75" customHeight="1">
      <c r="A477" s="64"/>
      <c r="B477" s="64"/>
      <c r="C477" s="64"/>
      <c r="D477" s="64"/>
      <c r="E477" s="64"/>
      <c r="F477" s="64"/>
      <c r="G477" s="64"/>
      <c r="H477" s="64"/>
      <c r="I477" s="67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 ht="12.75" customHeight="1">
      <c r="A478" s="64"/>
      <c r="B478" s="64"/>
      <c r="C478" s="64"/>
      <c r="D478" s="64"/>
      <c r="E478" s="64"/>
      <c r="F478" s="64"/>
      <c r="G478" s="64"/>
      <c r="H478" s="64"/>
      <c r="I478" s="67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 ht="12.75" customHeight="1">
      <c r="A479" s="64"/>
      <c r="B479" s="64"/>
      <c r="C479" s="64"/>
      <c r="D479" s="64"/>
      <c r="E479" s="64"/>
      <c r="F479" s="64"/>
      <c r="G479" s="64"/>
      <c r="H479" s="64"/>
      <c r="I479" s="67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 ht="12.75" customHeight="1">
      <c r="A480" s="64"/>
      <c r="B480" s="64"/>
      <c r="C480" s="64"/>
      <c r="D480" s="64"/>
      <c r="E480" s="64"/>
      <c r="F480" s="64"/>
      <c r="G480" s="64"/>
      <c r="H480" s="64"/>
      <c r="I480" s="67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 ht="12.75" customHeight="1">
      <c r="A481" s="64"/>
      <c r="B481" s="64"/>
      <c r="C481" s="64"/>
      <c r="D481" s="64"/>
      <c r="E481" s="64"/>
      <c r="F481" s="64"/>
      <c r="G481" s="64"/>
      <c r="H481" s="64"/>
      <c r="I481" s="67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 ht="12.75" customHeight="1">
      <c r="A482" s="64"/>
      <c r="B482" s="64"/>
      <c r="C482" s="64"/>
      <c r="D482" s="64"/>
      <c r="E482" s="64"/>
      <c r="F482" s="64"/>
      <c r="G482" s="64"/>
      <c r="H482" s="64"/>
      <c r="I482" s="67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 ht="12.75" customHeight="1">
      <c r="A483" s="64"/>
      <c r="B483" s="64"/>
      <c r="C483" s="64"/>
      <c r="D483" s="64"/>
      <c r="E483" s="64"/>
      <c r="F483" s="64"/>
      <c r="G483" s="64"/>
      <c r="H483" s="64"/>
      <c r="I483" s="67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 ht="12.75" customHeight="1">
      <c r="A484" s="64"/>
      <c r="B484" s="64"/>
      <c r="C484" s="64"/>
      <c r="D484" s="64"/>
      <c r="E484" s="64"/>
      <c r="F484" s="64"/>
      <c r="G484" s="64"/>
      <c r="H484" s="64"/>
      <c r="I484" s="67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 ht="12.75" customHeight="1">
      <c r="A485" s="64"/>
      <c r="B485" s="64"/>
      <c r="C485" s="64"/>
      <c r="D485" s="64"/>
      <c r="E485" s="64"/>
      <c r="F485" s="64"/>
      <c r="G485" s="64"/>
      <c r="H485" s="64"/>
      <c r="I485" s="67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 ht="12.75" customHeight="1">
      <c r="A486" s="64"/>
      <c r="B486" s="64"/>
      <c r="C486" s="64"/>
      <c r="D486" s="64"/>
      <c r="E486" s="64"/>
      <c r="F486" s="64"/>
      <c r="G486" s="64"/>
      <c r="H486" s="64"/>
      <c r="I486" s="67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 ht="12.75" customHeight="1">
      <c r="A487" s="64"/>
      <c r="B487" s="64"/>
      <c r="C487" s="64"/>
      <c r="D487" s="64"/>
      <c r="E487" s="64"/>
      <c r="F487" s="64"/>
      <c r="G487" s="64"/>
      <c r="H487" s="64"/>
      <c r="I487" s="67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 ht="12.75" customHeight="1">
      <c r="A488" s="64"/>
      <c r="B488" s="64"/>
      <c r="C488" s="64"/>
      <c r="D488" s="64"/>
      <c r="E488" s="64"/>
      <c r="F488" s="64"/>
      <c r="G488" s="64"/>
      <c r="H488" s="64"/>
      <c r="I488" s="67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 ht="12.75" customHeight="1">
      <c r="A489" s="64"/>
      <c r="B489" s="64"/>
      <c r="C489" s="64"/>
      <c r="D489" s="64"/>
      <c r="E489" s="64"/>
      <c r="F489" s="64"/>
      <c r="G489" s="64"/>
      <c r="H489" s="64"/>
      <c r="I489" s="67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 ht="12.75" customHeight="1">
      <c r="A490" s="64"/>
      <c r="B490" s="64"/>
      <c r="C490" s="64"/>
      <c r="D490" s="64"/>
      <c r="E490" s="64"/>
      <c r="F490" s="64"/>
      <c r="G490" s="64"/>
      <c r="H490" s="64"/>
      <c r="I490" s="67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 ht="12.75" customHeight="1">
      <c r="A491" s="64"/>
      <c r="B491" s="64"/>
      <c r="C491" s="64"/>
      <c r="D491" s="64"/>
      <c r="E491" s="64"/>
      <c r="F491" s="64"/>
      <c r="G491" s="64"/>
      <c r="H491" s="64"/>
      <c r="I491" s="67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 ht="12.75" customHeight="1">
      <c r="A492" s="64"/>
      <c r="B492" s="64"/>
      <c r="C492" s="64"/>
      <c r="D492" s="64"/>
      <c r="E492" s="64"/>
      <c r="F492" s="64"/>
      <c r="G492" s="64"/>
      <c r="H492" s="64"/>
      <c r="I492" s="67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 ht="12.75" customHeight="1">
      <c r="A493" s="64"/>
      <c r="B493" s="64"/>
      <c r="C493" s="64"/>
      <c r="D493" s="64"/>
      <c r="E493" s="64"/>
      <c r="F493" s="64"/>
      <c r="G493" s="64"/>
      <c r="H493" s="64"/>
      <c r="I493" s="67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 ht="12.75" customHeight="1">
      <c r="A494" s="64"/>
      <c r="B494" s="64"/>
      <c r="C494" s="64"/>
      <c r="D494" s="64"/>
      <c r="E494" s="64"/>
      <c r="F494" s="64"/>
      <c r="G494" s="64"/>
      <c r="H494" s="64"/>
      <c r="I494" s="67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 ht="12.75" customHeight="1">
      <c r="A495" s="64"/>
      <c r="B495" s="64"/>
      <c r="C495" s="64"/>
      <c r="D495" s="64"/>
      <c r="E495" s="64"/>
      <c r="F495" s="64"/>
      <c r="G495" s="64"/>
      <c r="H495" s="64"/>
      <c r="I495" s="67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 ht="12.75" customHeight="1">
      <c r="A496" s="64"/>
      <c r="B496" s="64"/>
      <c r="C496" s="64"/>
      <c r="D496" s="64"/>
      <c r="E496" s="64"/>
      <c r="F496" s="64"/>
      <c r="G496" s="64"/>
      <c r="H496" s="64"/>
      <c r="I496" s="67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 ht="12.75" customHeight="1">
      <c r="A497" s="64"/>
      <c r="B497" s="64"/>
      <c r="C497" s="64"/>
      <c r="D497" s="64"/>
      <c r="E497" s="64"/>
      <c r="F497" s="64"/>
      <c r="G497" s="64"/>
      <c r="H497" s="64"/>
      <c r="I497" s="67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 ht="12.75" customHeight="1">
      <c r="A498" s="64"/>
      <c r="B498" s="64"/>
      <c r="C498" s="64"/>
      <c r="D498" s="64"/>
      <c r="E498" s="64"/>
      <c r="F498" s="64"/>
      <c r="G498" s="64"/>
      <c r="H498" s="64"/>
      <c r="I498" s="67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 ht="12.75" customHeight="1">
      <c r="A499" s="64"/>
      <c r="B499" s="64"/>
      <c r="C499" s="64"/>
      <c r="D499" s="64"/>
      <c r="E499" s="64"/>
      <c r="F499" s="64"/>
      <c r="G499" s="64"/>
      <c r="H499" s="64"/>
      <c r="I499" s="67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 ht="12.75" customHeight="1">
      <c r="A500" s="64"/>
      <c r="B500" s="64"/>
      <c r="C500" s="64"/>
      <c r="D500" s="64"/>
      <c r="E500" s="64"/>
      <c r="F500" s="64"/>
      <c r="G500" s="64"/>
      <c r="H500" s="64"/>
      <c r="I500" s="67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 ht="12.75" customHeight="1">
      <c r="A501" s="64"/>
      <c r="B501" s="64"/>
      <c r="C501" s="64"/>
      <c r="D501" s="64"/>
      <c r="E501" s="64"/>
      <c r="F501" s="64"/>
      <c r="G501" s="64"/>
      <c r="H501" s="64"/>
      <c r="I501" s="67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 ht="12.75" customHeight="1">
      <c r="A502" s="64"/>
      <c r="B502" s="64"/>
      <c r="C502" s="64"/>
      <c r="D502" s="64"/>
      <c r="E502" s="64"/>
      <c r="F502" s="64"/>
      <c r="G502" s="64"/>
      <c r="H502" s="64"/>
      <c r="I502" s="67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 ht="12.75" customHeight="1">
      <c r="A503" s="64"/>
      <c r="B503" s="64"/>
      <c r="C503" s="64"/>
      <c r="D503" s="64"/>
      <c r="E503" s="64"/>
      <c r="F503" s="64"/>
      <c r="G503" s="64"/>
      <c r="H503" s="64"/>
      <c r="I503" s="67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 ht="12.75" customHeight="1">
      <c r="A504" s="64"/>
      <c r="B504" s="64"/>
      <c r="C504" s="64"/>
      <c r="D504" s="64"/>
      <c r="E504" s="64"/>
      <c r="F504" s="64"/>
      <c r="G504" s="64"/>
      <c r="H504" s="64"/>
      <c r="I504" s="67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 ht="12.75" customHeight="1">
      <c r="A505" s="64"/>
      <c r="B505" s="64"/>
      <c r="C505" s="64"/>
      <c r="D505" s="64"/>
      <c r="E505" s="64"/>
      <c r="F505" s="64"/>
      <c r="G505" s="64"/>
      <c r="H505" s="64"/>
      <c r="I505" s="67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 ht="12.75" customHeight="1">
      <c r="A506" s="64"/>
      <c r="B506" s="64"/>
      <c r="C506" s="64"/>
      <c r="D506" s="64"/>
      <c r="E506" s="64"/>
      <c r="F506" s="64"/>
      <c r="G506" s="64"/>
      <c r="H506" s="64"/>
      <c r="I506" s="67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 ht="12.75" customHeight="1">
      <c r="A507" s="64"/>
      <c r="B507" s="64"/>
      <c r="C507" s="64"/>
      <c r="D507" s="64"/>
      <c r="E507" s="64"/>
      <c r="F507" s="64"/>
      <c r="G507" s="64"/>
      <c r="H507" s="64"/>
      <c r="I507" s="67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 ht="12.75" customHeight="1">
      <c r="A508" s="64"/>
      <c r="B508" s="64"/>
      <c r="C508" s="64"/>
      <c r="D508" s="64"/>
      <c r="E508" s="64"/>
      <c r="F508" s="64"/>
      <c r="G508" s="64"/>
      <c r="H508" s="64"/>
      <c r="I508" s="67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 ht="12.75" customHeight="1">
      <c r="A509" s="64"/>
      <c r="B509" s="64"/>
      <c r="C509" s="64"/>
      <c r="D509" s="64"/>
      <c r="E509" s="64"/>
      <c r="F509" s="64"/>
      <c r="G509" s="64"/>
      <c r="H509" s="64"/>
      <c r="I509" s="67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 ht="12.75" customHeight="1">
      <c r="A510" s="64"/>
      <c r="B510" s="64"/>
      <c r="C510" s="64"/>
      <c r="D510" s="64"/>
      <c r="E510" s="64"/>
      <c r="F510" s="64"/>
      <c r="G510" s="64"/>
      <c r="H510" s="64"/>
      <c r="I510" s="67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 ht="12.75" customHeight="1">
      <c r="A511" s="64"/>
      <c r="B511" s="64"/>
      <c r="C511" s="64"/>
      <c r="D511" s="64"/>
      <c r="E511" s="64"/>
      <c r="F511" s="64"/>
      <c r="G511" s="64"/>
      <c r="H511" s="64"/>
      <c r="I511" s="67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 ht="12.75" customHeight="1">
      <c r="A512" s="64"/>
      <c r="B512" s="64"/>
      <c r="C512" s="64"/>
      <c r="D512" s="64"/>
      <c r="E512" s="64"/>
      <c r="F512" s="64"/>
      <c r="G512" s="64"/>
      <c r="H512" s="64"/>
      <c r="I512" s="67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 ht="12.75" customHeight="1">
      <c r="A513" s="64"/>
      <c r="B513" s="64"/>
      <c r="C513" s="64"/>
      <c r="D513" s="64"/>
      <c r="E513" s="64"/>
      <c r="F513" s="64"/>
      <c r="G513" s="64"/>
      <c r="H513" s="64"/>
      <c r="I513" s="67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 ht="12.75" customHeight="1">
      <c r="A514" s="64"/>
      <c r="B514" s="64"/>
      <c r="C514" s="64"/>
      <c r="D514" s="64"/>
      <c r="E514" s="64"/>
      <c r="F514" s="64"/>
      <c r="G514" s="64"/>
      <c r="H514" s="64"/>
      <c r="I514" s="67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 ht="12.75" customHeight="1">
      <c r="A515" s="64"/>
      <c r="B515" s="64"/>
      <c r="C515" s="64"/>
      <c r="D515" s="64"/>
      <c r="E515" s="64"/>
      <c r="F515" s="64"/>
      <c r="G515" s="64"/>
      <c r="H515" s="64"/>
      <c r="I515" s="67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 ht="12.75" customHeight="1">
      <c r="A516" s="64"/>
      <c r="B516" s="64"/>
      <c r="C516" s="64"/>
      <c r="D516" s="64"/>
      <c r="E516" s="64"/>
      <c r="F516" s="64"/>
      <c r="G516" s="64"/>
      <c r="H516" s="64"/>
      <c r="I516" s="67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 ht="12.75" customHeight="1">
      <c r="A517" s="64"/>
      <c r="B517" s="64"/>
      <c r="C517" s="64"/>
      <c r="D517" s="64"/>
      <c r="E517" s="64"/>
      <c r="F517" s="64"/>
      <c r="G517" s="64"/>
      <c r="H517" s="64"/>
      <c r="I517" s="67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 ht="12.75" customHeight="1">
      <c r="A518" s="64"/>
      <c r="B518" s="64"/>
      <c r="C518" s="64"/>
      <c r="D518" s="64"/>
      <c r="E518" s="64"/>
      <c r="F518" s="64"/>
      <c r="G518" s="64"/>
      <c r="H518" s="64"/>
      <c r="I518" s="67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 ht="12.75" customHeight="1">
      <c r="A519" s="64"/>
      <c r="B519" s="64"/>
      <c r="C519" s="64"/>
      <c r="D519" s="64"/>
      <c r="E519" s="64"/>
      <c r="F519" s="64"/>
      <c r="G519" s="64"/>
      <c r="H519" s="64"/>
      <c r="I519" s="67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 ht="12.75" customHeight="1">
      <c r="A520" s="64"/>
      <c r="B520" s="64"/>
      <c r="C520" s="64"/>
      <c r="D520" s="64"/>
      <c r="E520" s="64"/>
      <c r="F520" s="64"/>
      <c r="G520" s="64"/>
      <c r="H520" s="64"/>
      <c r="I520" s="67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 ht="12.75" customHeight="1">
      <c r="A521" s="64"/>
      <c r="B521" s="64"/>
      <c r="C521" s="64"/>
      <c r="D521" s="64"/>
      <c r="E521" s="64"/>
      <c r="F521" s="64"/>
      <c r="G521" s="64"/>
      <c r="H521" s="64"/>
      <c r="I521" s="67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 ht="12.75" customHeight="1">
      <c r="A522" s="64"/>
      <c r="B522" s="64"/>
      <c r="C522" s="64"/>
      <c r="D522" s="64"/>
      <c r="E522" s="64"/>
      <c r="F522" s="64"/>
      <c r="G522" s="64"/>
      <c r="H522" s="64"/>
      <c r="I522" s="67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 ht="12.75" customHeight="1">
      <c r="A523" s="64"/>
      <c r="B523" s="64"/>
      <c r="C523" s="64"/>
      <c r="D523" s="64"/>
      <c r="E523" s="64"/>
      <c r="F523" s="64"/>
      <c r="G523" s="64"/>
      <c r="H523" s="64"/>
      <c r="I523" s="67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 ht="12.75" customHeight="1">
      <c r="A524" s="64"/>
      <c r="B524" s="64"/>
      <c r="C524" s="64"/>
      <c r="D524" s="64"/>
      <c r="E524" s="64"/>
      <c r="F524" s="64"/>
      <c r="G524" s="64"/>
      <c r="H524" s="64"/>
      <c r="I524" s="67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 ht="12.75" customHeight="1">
      <c r="A525" s="64"/>
      <c r="B525" s="64"/>
      <c r="C525" s="64"/>
      <c r="D525" s="64"/>
      <c r="E525" s="64"/>
      <c r="F525" s="64"/>
      <c r="G525" s="64"/>
      <c r="H525" s="64"/>
      <c r="I525" s="67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 ht="12.75" customHeight="1">
      <c r="A526" s="64"/>
      <c r="B526" s="64"/>
      <c r="C526" s="64"/>
      <c r="D526" s="64"/>
      <c r="E526" s="64"/>
      <c r="F526" s="64"/>
      <c r="G526" s="64"/>
      <c r="H526" s="64"/>
      <c r="I526" s="67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 ht="12.75" customHeight="1">
      <c r="A527" s="64"/>
      <c r="B527" s="64"/>
      <c r="C527" s="64"/>
      <c r="D527" s="64"/>
      <c r="E527" s="64"/>
      <c r="F527" s="64"/>
      <c r="G527" s="64"/>
      <c r="H527" s="64"/>
      <c r="I527" s="67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 ht="12.75" customHeight="1">
      <c r="A528" s="64"/>
      <c r="B528" s="64"/>
      <c r="C528" s="64"/>
      <c r="D528" s="64"/>
      <c r="E528" s="64"/>
      <c r="F528" s="64"/>
      <c r="G528" s="64"/>
      <c r="H528" s="64"/>
      <c r="I528" s="67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 ht="12.75" customHeight="1">
      <c r="A529" s="64"/>
      <c r="B529" s="64"/>
      <c r="C529" s="64"/>
      <c r="D529" s="64"/>
      <c r="E529" s="64"/>
      <c r="F529" s="64"/>
      <c r="G529" s="64"/>
      <c r="H529" s="64"/>
      <c r="I529" s="67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 ht="12.75" customHeight="1">
      <c r="A530" s="64"/>
      <c r="B530" s="64"/>
      <c r="C530" s="64"/>
      <c r="D530" s="64"/>
      <c r="E530" s="64"/>
      <c r="F530" s="64"/>
      <c r="G530" s="64"/>
      <c r="H530" s="64"/>
      <c r="I530" s="67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 ht="12.75" customHeight="1">
      <c r="A531" s="64"/>
      <c r="B531" s="64"/>
      <c r="C531" s="64"/>
      <c r="D531" s="64"/>
      <c r="E531" s="64"/>
      <c r="F531" s="64"/>
      <c r="G531" s="64"/>
      <c r="H531" s="64"/>
      <c r="I531" s="67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 ht="12.75" customHeight="1">
      <c r="A532" s="64"/>
      <c r="B532" s="64"/>
      <c r="C532" s="64"/>
      <c r="D532" s="64"/>
      <c r="E532" s="64"/>
      <c r="F532" s="64"/>
      <c r="G532" s="64"/>
      <c r="H532" s="64"/>
      <c r="I532" s="67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 ht="12.75" customHeight="1">
      <c r="A533" s="64"/>
      <c r="B533" s="64"/>
      <c r="C533" s="64"/>
      <c r="D533" s="64"/>
      <c r="E533" s="64"/>
      <c r="F533" s="64"/>
      <c r="G533" s="64"/>
      <c r="H533" s="64"/>
      <c r="I533" s="67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 ht="12.75" customHeight="1">
      <c r="A534" s="64"/>
      <c r="B534" s="64"/>
      <c r="C534" s="64"/>
      <c r="D534" s="64"/>
      <c r="E534" s="64"/>
      <c r="F534" s="64"/>
      <c r="G534" s="64"/>
      <c r="H534" s="64"/>
      <c r="I534" s="67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 ht="12.75" customHeight="1">
      <c r="A535" s="64"/>
      <c r="B535" s="64"/>
      <c r="C535" s="64"/>
      <c r="D535" s="64"/>
      <c r="E535" s="64"/>
      <c r="F535" s="64"/>
      <c r="G535" s="64"/>
      <c r="H535" s="64"/>
      <c r="I535" s="67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 ht="12.75" customHeight="1">
      <c r="A536" s="64"/>
      <c r="B536" s="64"/>
      <c r="C536" s="64"/>
      <c r="D536" s="64"/>
      <c r="E536" s="64"/>
      <c r="F536" s="64"/>
      <c r="G536" s="64"/>
      <c r="H536" s="64"/>
      <c r="I536" s="67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 ht="12.75" customHeight="1">
      <c r="A537" s="64"/>
      <c r="B537" s="64"/>
      <c r="C537" s="64"/>
      <c r="D537" s="64"/>
      <c r="E537" s="64"/>
      <c r="F537" s="64"/>
      <c r="G537" s="64"/>
      <c r="H537" s="64"/>
      <c r="I537" s="67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 ht="12.75" customHeight="1">
      <c r="A538" s="64"/>
      <c r="B538" s="64"/>
      <c r="C538" s="64"/>
      <c r="D538" s="64"/>
      <c r="E538" s="64"/>
      <c r="F538" s="64"/>
      <c r="G538" s="64"/>
      <c r="H538" s="64"/>
      <c r="I538" s="67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 ht="12.75" customHeight="1">
      <c r="A539" s="64"/>
      <c r="B539" s="64"/>
      <c r="C539" s="64"/>
      <c r="D539" s="64"/>
      <c r="E539" s="64"/>
      <c r="F539" s="64"/>
      <c r="G539" s="64"/>
      <c r="H539" s="64"/>
      <c r="I539" s="67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 ht="12.75" customHeight="1">
      <c r="A540" s="64"/>
      <c r="B540" s="64"/>
      <c r="C540" s="64"/>
      <c r="D540" s="64"/>
      <c r="E540" s="64"/>
      <c r="F540" s="64"/>
      <c r="G540" s="64"/>
      <c r="H540" s="64"/>
      <c r="I540" s="67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 ht="12.75" customHeight="1">
      <c r="A541" s="64"/>
      <c r="B541" s="64"/>
      <c r="C541" s="64"/>
      <c r="D541" s="64"/>
      <c r="E541" s="64"/>
      <c r="F541" s="64"/>
      <c r="G541" s="64"/>
      <c r="H541" s="64"/>
      <c r="I541" s="67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 ht="12.75" customHeight="1">
      <c r="A542" s="64"/>
      <c r="B542" s="64"/>
      <c r="C542" s="64"/>
      <c r="D542" s="64"/>
      <c r="E542" s="64"/>
      <c r="F542" s="64"/>
      <c r="G542" s="64"/>
      <c r="H542" s="64"/>
      <c r="I542" s="67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 ht="12.75" customHeight="1">
      <c r="A543" s="64"/>
      <c r="B543" s="64"/>
      <c r="C543" s="64"/>
      <c r="D543" s="64"/>
      <c r="E543" s="64"/>
      <c r="F543" s="64"/>
      <c r="G543" s="64"/>
      <c r="H543" s="64"/>
      <c r="I543" s="67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 ht="12.75" customHeight="1">
      <c r="A544" s="64"/>
      <c r="B544" s="64"/>
      <c r="C544" s="64"/>
      <c r="D544" s="64"/>
      <c r="E544" s="64"/>
      <c r="F544" s="64"/>
      <c r="G544" s="64"/>
      <c r="H544" s="64"/>
      <c r="I544" s="67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 ht="12.75" customHeight="1">
      <c r="A545" s="64"/>
      <c r="B545" s="64"/>
      <c r="C545" s="64"/>
      <c r="D545" s="64"/>
      <c r="E545" s="64"/>
      <c r="F545" s="64"/>
      <c r="G545" s="64"/>
      <c r="H545" s="64"/>
      <c r="I545" s="67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 ht="12.75" customHeight="1">
      <c r="A546" s="64"/>
      <c r="B546" s="64"/>
      <c r="C546" s="64"/>
      <c r="D546" s="64"/>
      <c r="E546" s="64"/>
      <c r="F546" s="64"/>
      <c r="G546" s="64"/>
      <c r="H546" s="64"/>
      <c r="I546" s="67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 ht="12.75" customHeight="1">
      <c r="A547" s="64"/>
      <c r="B547" s="64"/>
      <c r="C547" s="64"/>
      <c r="D547" s="64"/>
      <c r="E547" s="64"/>
      <c r="F547" s="64"/>
      <c r="G547" s="64"/>
      <c r="H547" s="64"/>
      <c r="I547" s="67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 ht="12.75" customHeight="1">
      <c r="A548" s="64"/>
      <c r="B548" s="64"/>
      <c r="C548" s="64"/>
      <c r="D548" s="64"/>
      <c r="E548" s="64"/>
      <c r="F548" s="64"/>
      <c r="G548" s="64"/>
      <c r="H548" s="64"/>
      <c r="I548" s="67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 ht="12.75" customHeight="1">
      <c r="A549" s="64"/>
      <c r="B549" s="64"/>
      <c r="C549" s="64"/>
      <c r="D549" s="64"/>
      <c r="E549" s="64"/>
      <c r="F549" s="64"/>
      <c r="G549" s="64"/>
      <c r="H549" s="64"/>
      <c r="I549" s="67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 ht="12.75" customHeight="1">
      <c r="A550" s="64"/>
      <c r="B550" s="64"/>
      <c r="C550" s="64"/>
      <c r="D550" s="64"/>
      <c r="E550" s="64"/>
      <c r="F550" s="64"/>
      <c r="G550" s="64"/>
      <c r="H550" s="64"/>
      <c r="I550" s="67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 ht="12.75" customHeight="1">
      <c r="A551" s="64"/>
      <c r="B551" s="64"/>
      <c r="C551" s="64"/>
      <c r="D551" s="64"/>
      <c r="E551" s="64"/>
      <c r="F551" s="64"/>
      <c r="G551" s="64"/>
      <c r="H551" s="64"/>
      <c r="I551" s="67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 ht="12.75" customHeight="1">
      <c r="A552" s="64"/>
      <c r="B552" s="64"/>
      <c r="C552" s="64"/>
      <c r="D552" s="64"/>
      <c r="E552" s="64"/>
      <c r="F552" s="64"/>
      <c r="G552" s="64"/>
      <c r="H552" s="64"/>
      <c r="I552" s="67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 ht="12.75" customHeight="1">
      <c r="A553" s="64"/>
      <c r="B553" s="64"/>
      <c r="C553" s="64"/>
      <c r="D553" s="64"/>
      <c r="E553" s="64"/>
      <c r="F553" s="64"/>
      <c r="G553" s="64"/>
      <c r="H553" s="64"/>
      <c r="I553" s="67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 ht="12.75" customHeight="1">
      <c r="A554" s="64"/>
      <c r="B554" s="64"/>
      <c r="C554" s="64"/>
      <c r="D554" s="64"/>
      <c r="E554" s="64"/>
      <c r="F554" s="64"/>
      <c r="G554" s="64"/>
      <c r="H554" s="64"/>
      <c r="I554" s="67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 ht="12.75" customHeight="1">
      <c r="A555" s="64"/>
      <c r="B555" s="64"/>
      <c r="C555" s="64"/>
      <c r="D555" s="64"/>
      <c r="E555" s="64"/>
      <c r="F555" s="64"/>
      <c r="G555" s="64"/>
      <c r="H555" s="64"/>
      <c r="I555" s="67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 ht="12.75" customHeight="1">
      <c r="A556" s="64"/>
      <c r="B556" s="64"/>
      <c r="C556" s="64"/>
      <c r="D556" s="64"/>
      <c r="E556" s="64"/>
      <c r="F556" s="64"/>
      <c r="G556" s="64"/>
      <c r="H556" s="64"/>
      <c r="I556" s="67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 ht="12.75" customHeight="1">
      <c r="A557" s="64"/>
      <c r="B557" s="64"/>
      <c r="C557" s="64"/>
      <c r="D557" s="64"/>
      <c r="E557" s="64"/>
      <c r="F557" s="64"/>
      <c r="G557" s="64"/>
      <c r="H557" s="64"/>
      <c r="I557" s="67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 ht="12.75" customHeight="1">
      <c r="A558" s="64"/>
      <c r="B558" s="64"/>
      <c r="C558" s="64"/>
      <c r="D558" s="64"/>
      <c r="E558" s="64"/>
      <c r="F558" s="64"/>
      <c r="G558" s="64"/>
      <c r="H558" s="64"/>
      <c r="I558" s="67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 ht="12.75" customHeight="1">
      <c r="A559" s="64"/>
      <c r="B559" s="64"/>
      <c r="C559" s="64"/>
      <c r="D559" s="64"/>
      <c r="E559" s="64"/>
      <c r="F559" s="64"/>
      <c r="G559" s="64"/>
      <c r="H559" s="64"/>
      <c r="I559" s="67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 ht="12.75" customHeight="1">
      <c r="A560" s="64"/>
      <c r="B560" s="64"/>
      <c r="C560" s="64"/>
      <c r="D560" s="64"/>
      <c r="E560" s="64"/>
      <c r="F560" s="64"/>
      <c r="G560" s="64"/>
      <c r="H560" s="64"/>
      <c r="I560" s="67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 ht="12.75" customHeight="1">
      <c r="A561" s="64"/>
      <c r="B561" s="64"/>
      <c r="C561" s="64"/>
      <c r="D561" s="64"/>
      <c r="E561" s="64"/>
      <c r="F561" s="64"/>
      <c r="G561" s="64"/>
      <c r="H561" s="64"/>
      <c r="I561" s="67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 ht="12.75" customHeight="1">
      <c r="A562" s="64"/>
      <c r="B562" s="64"/>
      <c r="C562" s="64"/>
      <c r="D562" s="64"/>
      <c r="E562" s="64"/>
      <c r="F562" s="64"/>
      <c r="G562" s="64"/>
      <c r="H562" s="64"/>
      <c r="I562" s="67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 ht="12.75" customHeight="1">
      <c r="A563" s="64"/>
      <c r="B563" s="64"/>
      <c r="C563" s="64"/>
      <c r="D563" s="64"/>
      <c r="E563" s="64"/>
      <c r="F563" s="64"/>
      <c r="G563" s="64"/>
      <c r="H563" s="64"/>
      <c r="I563" s="67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 ht="12.75" customHeight="1">
      <c r="A564" s="64"/>
      <c r="B564" s="64"/>
      <c r="C564" s="64"/>
      <c r="D564" s="64"/>
      <c r="E564" s="64"/>
      <c r="F564" s="64"/>
      <c r="G564" s="64"/>
      <c r="H564" s="64"/>
      <c r="I564" s="67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 ht="12.75" customHeight="1">
      <c r="A565" s="64"/>
      <c r="B565" s="64"/>
      <c r="C565" s="64"/>
      <c r="D565" s="64"/>
      <c r="E565" s="64"/>
      <c r="F565" s="64"/>
      <c r="G565" s="64"/>
      <c r="H565" s="64"/>
      <c r="I565" s="67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 ht="12.75" customHeight="1">
      <c r="A566" s="64"/>
      <c r="B566" s="64"/>
      <c r="C566" s="64"/>
      <c r="D566" s="64"/>
      <c r="E566" s="64"/>
      <c r="F566" s="64"/>
      <c r="G566" s="64"/>
      <c r="H566" s="64"/>
      <c r="I566" s="67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 ht="12.75" customHeight="1">
      <c r="A567" s="64"/>
      <c r="B567" s="64"/>
      <c r="C567" s="64"/>
      <c r="D567" s="64"/>
      <c r="E567" s="64"/>
      <c r="F567" s="64"/>
      <c r="G567" s="64"/>
      <c r="H567" s="64"/>
      <c r="I567" s="67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 ht="12.75" customHeight="1">
      <c r="A568" s="64"/>
      <c r="B568" s="64"/>
      <c r="C568" s="64"/>
      <c r="D568" s="64"/>
      <c r="E568" s="64"/>
      <c r="F568" s="64"/>
      <c r="G568" s="64"/>
      <c r="H568" s="64"/>
      <c r="I568" s="67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 ht="12.75" customHeight="1">
      <c r="A569" s="64"/>
      <c r="B569" s="64"/>
      <c r="C569" s="64"/>
      <c r="D569" s="64"/>
      <c r="E569" s="64"/>
      <c r="F569" s="64"/>
      <c r="G569" s="64"/>
      <c r="H569" s="64"/>
      <c r="I569" s="67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 ht="12.75" customHeight="1">
      <c r="A570" s="64"/>
      <c r="B570" s="64"/>
      <c r="C570" s="64"/>
      <c r="D570" s="64"/>
      <c r="E570" s="64"/>
      <c r="F570" s="64"/>
      <c r="G570" s="64"/>
      <c r="H570" s="64"/>
      <c r="I570" s="67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 ht="12.75" customHeight="1">
      <c r="A571" s="64"/>
      <c r="B571" s="64"/>
      <c r="C571" s="64"/>
      <c r="D571" s="64"/>
      <c r="E571" s="64"/>
      <c r="F571" s="64"/>
      <c r="G571" s="64"/>
      <c r="H571" s="64"/>
      <c r="I571" s="67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 ht="12.75" customHeight="1">
      <c r="A572" s="64"/>
      <c r="B572" s="64"/>
      <c r="C572" s="64"/>
      <c r="D572" s="64"/>
      <c r="E572" s="64"/>
      <c r="F572" s="64"/>
      <c r="G572" s="64"/>
      <c r="H572" s="64"/>
      <c r="I572" s="67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 ht="12.75" customHeight="1">
      <c r="A573" s="64"/>
      <c r="B573" s="64"/>
      <c r="C573" s="64"/>
      <c r="D573" s="64"/>
      <c r="E573" s="64"/>
      <c r="F573" s="64"/>
      <c r="G573" s="64"/>
      <c r="H573" s="64"/>
      <c r="I573" s="67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 ht="12.75" customHeight="1">
      <c r="A574" s="64"/>
      <c r="B574" s="64"/>
      <c r="C574" s="64"/>
      <c r="D574" s="64"/>
      <c r="E574" s="64"/>
      <c r="F574" s="64"/>
      <c r="G574" s="64"/>
      <c r="H574" s="64"/>
      <c r="I574" s="67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 ht="12.75" customHeight="1">
      <c r="A575" s="64"/>
      <c r="B575" s="64"/>
      <c r="C575" s="64"/>
      <c r="D575" s="64"/>
      <c r="E575" s="64"/>
      <c r="F575" s="64"/>
      <c r="G575" s="64"/>
      <c r="H575" s="64"/>
      <c r="I575" s="67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 ht="12.75" customHeight="1">
      <c r="A576" s="64"/>
      <c r="B576" s="64"/>
      <c r="C576" s="64"/>
      <c r="D576" s="64"/>
      <c r="E576" s="64"/>
      <c r="F576" s="64"/>
      <c r="G576" s="64"/>
      <c r="H576" s="64"/>
      <c r="I576" s="67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 ht="12.75" customHeight="1">
      <c r="A577" s="64"/>
      <c r="B577" s="64"/>
      <c r="C577" s="64"/>
      <c r="D577" s="64"/>
      <c r="E577" s="64"/>
      <c r="F577" s="64"/>
      <c r="G577" s="64"/>
      <c r="H577" s="64"/>
      <c r="I577" s="67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 ht="12.75" customHeight="1">
      <c r="A578" s="64"/>
      <c r="B578" s="64"/>
      <c r="C578" s="64"/>
      <c r="D578" s="64"/>
      <c r="E578" s="64"/>
      <c r="F578" s="64"/>
      <c r="G578" s="64"/>
      <c r="H578" s="64"/>
      <c r="I578" s="67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 ht="12.75" customHeight="1">
      <c r="A579" s="64"/>
      <c r="B579" s="64"/>
      <c r="C579" s="64"/>
      <c r="D579" s="64"/>
      <c r="E579" s="64"/>
      <c r="F579" s="64"/>
      <c r="G579" s="64"/>
      <c r="H579" s="64"/>
      <c r="I579" s="67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 ht="12.75" customHeight="1">
      <c r="A580" s="64"/>
      <c r="B580" s="64"/>
      <c r="C580" s="64"/>
      <c r="D580" s="64"/>
      <c r="E580" s="64"/>
      <c r="F580" s="64"/>
      <c r="G580" s="64"/>
      <c r="H580" s="64"/>
      <c r="I580" s="67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 ht="12.75" customHeight="1">
      <c r="A581" s="64"/>
      <c r="B581" s="64"/>
      <c r="C581" s="64"/>
      <c r="D581" s="64"/>
      <c r="E581" s="64"/>
      <c r="F581" s="64"/>
      <c r="G581" s="64"/>
      <c r="H581" s="64"/>
      <c r="I581" s="67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 ht="12.75" customHeight="1">
      <c r="A582" s="64"/>
      <c r="B582" s="64"/>
      <c r="C582" s="64"/>
      <c r="D582" s="64"/>
      <c r="E582" s="64"/>
      <c r="F582" s="64"/>
      <c r="G582" s="64"/>
      <c r="H582" s="64"/>
      <c r="I582" s="67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 ht="12.75" customHeight="1">
      <c r="A583" s="64"/>
      <c r="B583" s="64"/>
      <c r="C583" s="64"/>
      <c r="D583" s="64"/>
      <c r="E583" s="64"/>
      <c r="F583" s="64"/>
      <c r="G583" s="64"/>
      <c r="H583" s="64"/>
      <c r="I583" s="67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 ht="12.75" customHeight="1">
      <c r="A584" s="64"/>
      <c r="B584" s="64"/>
      <c r="C584" s="64"/>
      <c r="D584" s="64"/>
      <c r="E584" s="64"/>
      <c r="F584" s="64"/>
      <c r="G584" s="64"/>
      <c r="H584" s="64"/>
      <c r="I584" s="67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 ht="12.75" customHeight="1">
      <c r="A585" s="64"/>
      <c r="B585" s="64"/>
      <c r="C585" s="64"/>
      <c r="D585" s="64"/>
      <c r="E585" s="64"/>
      <c r="F585" s="64"/>
      <c r="G585" s="64"/>
      <c r="H585" s="64"/>
      <c r="I585" s="67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 ht="12.75" customHeight="1">
      <c r="A586" s="64"/>
      <c r="B586" s="64"/>
      <c r="C586" s="64"/>
      <c r="D586" s="64"/>
      <c r="E586" s="64"/>
      <c r="F586" s="64"/>
      <c r="G586" s="64"/>
      <c r="H586" s="64"/>
      <c r="I586" s="67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 ht="12.75" customHeight="1">
      <c r="A587" s="64"/>
      <c r="B587" s="64"/>
      <c r="C587" s="64"/>
      <c r="D587" s="64"/>
      <c r="E587" s="64"/>
      <c r="F587" s="64"/>
      <c r="G587" s="64"/>
      <c r="H587" s="64"/>
      <c r="I587" s="67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 ht="12.75" customHeight="1">
      <c r="A588" s="64"/>
      <c r="B588" s="64"/>
      <c r="C588" s="64"/>
      <c r="D588" s="64"/>
      <c r="E588" s="64"/>
      <c r="F588" s="64"/>
      <c r="G588" s="64"/>
      <c r="H588" s="64"/>
      <c r="I588" s="67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 ht="12.75" customHeight="1">
      <c r="A589" s="64"/>
      <c r="B589" s="64"/>
      <c r="C589" s="64"/>
      <c r="D589" s="64"/>
      <c r="E589" s="64"/>
      <c r="F589" s="64"/>
      <c r="G589" s="64"/>
      <c r="H589" s="64"/>
      <c r="I589" s="67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 ht="12.75" customHeight="1">
      <c r="A590" s="64"/>
      <c r="B590" s="64"/>
      <c r="C590" s="64"/>
      <c r="D590" s="64"/>
      <c r="E590" s="64"/>
      <c r="F590" s="64"/>
      <c r="G590" s="64"/>
      <c r="H590" s="64"/>
      <c r="I590" s="67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 ht="12.75" customHeight="1">
      <c r="A591" s="64"/>
      <c r="B591" s="64"/>
      <c r="C591" s="64"/>
      <c r="D591" s="64"/>
      <c r="E591" s="64"/>
      <c r="F591" s="64"/>
      <c r="G591" s="64"/>
      <c r="H591" s="64"/>
      <c r="I591" s="67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 ht="12.75" customHeight="1">
      <c r="A592" s="64"/>
      <c r="B592" s="64"/>
      <c r="C592" s="64"/>
      <c r="D592" s="64"/>
      <c r="E592" s="64"/>
      <c r="F592" s="64"/>
      <c r="G592" s="64"/>
      <c r="H592" s="64"/>
      <c r="I592" s="67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 ht="12.75" customHeight="1">
      <c r="A593" s="64"/>
      <c r="B593" s="64"/>
      <c r="C593" s="64"/>
      <c r="D593" s="64"/>
      <c r="E593" s="64"/>
      <c r="F593" s="64"/>
      <c r="G593" s="64"/>
      <c r="H593" s="64"/>
      <c r="I593" s="67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 ht="12.75" customHeight="1">
      <c r="A594" s="64"/>
      <c r="B594" s="64"/>
      <c r="C594" s="64"/>
      <c r="D594" s="64"/>
      <c r="E594" s="64"/>
      <c r="F594" s="64"/>
      <c r="G594" s="64"/>
      <c r="H594" s="64"/>
      <c r="I594" s="67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 ht="12.75" customHeight="1">
      <c r="A595" s="64"/>
      <c r="B595" s="64"/>
      <c r="C595" s="64"/>
      <c r="D595" s="64"/>
      <c r="E595" s="64"/>
      <c r="F595" s="64"/>
      <c r="G595" s="64"/>
      <c r="H595" s="64"/>
      <c r="I595" s="67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 ht="12.75" customHeight="1">
      <c r="A596" s="64"/>
      <c r="B596" s="64"/>
      <c r="C596" s="64"/>
      <c r="D596" s="64"/>
      <c r="E596" s="64"/>
      <c r="F596" s="64"/>
      <c r="G596" s="64"/>
      <c r="H596" s="64"/>
      <c r="I596" s="67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 ht="12.75" customHeight="1">
      <c r="A597" s="64"/>
      <c r="B597" s="64"/>
      <c r="C597" s="64"/>
      <c r="D597" s="64"/>
      <c r="E597" s="64"/>
      <c r="F597" s="64"/>
      <c r="G597" s="64"/>
      <c r="H597" s="64"/>
      <c r="I597" s="67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 ht="12.75" customHeight="1">
      <c r="A598" s="64"/>
      <c r="B598" s="64"/>
      <c r="C598" s="64"/>
      <c r="D598" s="64"/>
      <c r="E598" s="64"/>
      <c r="F598" s="64"/>
      <c r="G598" s="64"/>
      <c r="H598" s="64"/>
      <c r="I598" s="67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 ht="12.75" customHeight="1">
      <c r="A599" s="64"/>
      <c r="B599" s="64"/>
      <c r="C599" s="64"/>
      <c r="D599" s="64"/>
      <c r="E599" s="64"/>
      <c r="F599" s="64"/>
      <c r="G599" s="64"/>
      <c r="H599" s="64"/>
      <c r="I599" s="67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 ht="12.75" customHeight="1">
      <c r="A600" s="64"/>
      <c r="B600" s="64"/>
      <c r="C600" s="64"/>
      <c r="D600" s="64"/>
      <c r="E600" s="64"/>
      <c r="F600" s="64"/>
      <c r="G600" s="64"/>
      <c r="H600" s="64"/>
      <c r="I600" s="67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 ht="12.75" customHeight="1">
      <c r="A601" s="64"/>
      <c r="B601" s="64"/>
      <c r="C601" s="64"/>
      <c r="D601" s="64"/>
      <c r="E601" s="64"/>
      <c r="F601" s="64"/>
      <c r="G601" s="64"/>
      <c r="H601" s="64"/>
      <c r="I601" s="67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 ht="12.75" customHeight="1">
      <c r="A602" s="64"/>
      <c r="B602" s="64"/>
      <c r="C602" s="64"/>
      <c r="D602" s="64"/>
      <c r="E602" s="64"/>
      <c r="F602" s="64"/>
      <c r="G602" s="64"/>
      <c r="H602" s="64"/>
      <c r="I602" s="67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 ht="12.75" customHeight="1">
      <c r="A603" s="64"/>
      <c r="B603" s="64"/>
      <c r="C603" s="64"/>
      <c r="D603" s="64"/>
      <c r="E603" s="64"/>
      <c r="F603" s="64"/>
      <c r="G603" s="64"/>
      <c r="H603" s="64"/>
      <c r="I603" s="67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 ht="12.75" customHeight="1">
      <c r="A604" s="64"/>
      <c r="B604" s="64"/>
      <c r="C604" s="64"/>
      <c r="D604" s="64"/>
      <c r="E604" s="64"/>
      <c r="F604" s="64"/>
      <c r="G604" s="64"/>
      <c r="H604" s="64"/>
      <c r="I604" s="67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 ht="12.75" customHeight="1">
      <c r="A605" s="64"/>
      <c r="B605" s="64"/>
      <c r="C605" s="64"/>
      <c r="D605" s="64"/>
      <c r="E605" s="64"/>
      <c r="F605" s="64"/>
      <c r="G605" s="64"/>
      <c r="H605" s="64"/>
      <c r="I605" s="67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 ht="12.75" customHeight="1">
      <c r="A606" s="64"/>
      <c r="B606" s="64"/>
      <c r="C606" s="64"/>
      <c r="D606" s="64"/>
      <c r="E606" s="64"/>
      <c r="F606" s="64"/>
      <c r="G606" s="64"/>
      <c r="H606" s="64"/>
      <c r="I606" s="67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 ht="12.75" customHeight="1">
      <c r="A607" s="64"/>
      <c r="B607" s="64"/>
      <c r="C607" s="64"/>
      <c r="D607" s="64"/>
      <c r="E607" s="64"/>
      <c r="F607" s="64"/>
      <c r="G607" s="64"/>
      <c r="H607" s="64"/>
      <c r="I607" s="67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 ht="12.75" customHeight="1">
      <c r="A608" s="64"/>
      <c r="B608" s="64"/>
      <c r="C608" s="64"/>
      <c r="D608" s="64"/>
      <c r="E608" s="64"/>
      <c r="F608" s="64"/>
      <c r="G608" s="64"/>
      <c r="H608" s="64"/>
      <c r="I608" s="67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 ht="12.75" customHeight="1">
      <c r="A609" s="64"/>
      <c r="B609" s="64"/>
      <c r="C609" s="64"/>
      <c r="D609" s="64"/>
      <c r="E609" s="64"/>
      <c r="F609" s="64"/>
      <c r="G609" s="64"/>
      <c r="H609" s="64"/>
      <c r="I609" s="67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 ht="12.75" customHeight="1">
      <c r="A610" s="64"/>
      <c r="B610" s="64"/>
      <c r="C610" s="64"/>
      <c r="D610" s="64"/>
      <c r="E610" s="64"/>
      <c r="F610" s="64"/>
      <c r="G610" s="64"/>
      <c r="H610" s="64"/>
      <c r="I610" s="67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 ht="12.75" customHeight="1">
      <c r="A611" s="64"/>
      <c r="B611" s="64"/>
      <c r="C611" s="64"/>
      <c r="D611" s="64"/>
      <c r="E611" s="64"/>
      <c r="F611" s="64"/>
      <c r="G611" s="64"/>
      <c r="H611" s="64"/>
      <c r="I611" s="67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 ht="12.75" customHeight="1">
      <c r="A612" s="64"/>
      <c r="B612" s="64"/>
      <c r="C612" s="64"/>
      <c r="D612" s="64"/>
      <c r="E612" s="64"/>
      <c r="F612" s="64"/>
      <c r="G612" s="64"/>
      <c r="H612" s="64"/>
      <c r="I612" s="67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 ht="12.75" customHeight="1">
      <c r="A613" s="64"/>
      <c r="B613" s="64"/>
      <c r="C613" s="64"/>
      <c r="D613" s="64"/>
      <c r="E613" s="64"/>
      <c r="F613" s="64"/>
      <c r="G613" s="64"/>
      <c r="H613" s="64"/>
      <c r="I613" s="67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 ht="12.75" customHeight="1">
      <c r="A614" s="64"/>
      <c r="B614" s="64"/>
      <c r="C614" s="64"/>
      <c r="D614" s="64"/>
      <c r="E614" s="64"/>
      <c r="F614" s="64"/>
      <c r="G614" s="64"/>
      <c r="H614" s="64"/>
      <c r="I614" s="67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 ht="12.75" customHeight="1">
      <c r="A615" s="64"/>
      <c r="B615" s="64"/>
      <c r="C615" s="64"/>
      <c r="D615" s="64"/>
      <c r="E615" s="64"/>
      <c r="F615" s="64"/>
      <c r="G615" s="64"/>
      <c r="H615" s="64"/>
      <c r="I615" s="67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 ht="12.75" customHeight="1">
      <c r="A616" s="64"/>
      <c r="B616" s="64"/>
      <c r="C616" s="64"/>
      <c r="D616" s="64"/>
      <c r="E616" s="64"/>
      <c r="F616" s="64"/>
      <c r="G616" s="64"/>
      <c r="H616" s="64"/>
      <c r="I616" s="67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 ht="12.75" customHeight="1">
      <c r="A617" s="64"/>
      <c r="B617" s="64"/>
      <c r="C617" s="64"/>
      <c r="D617" s="64"/>
      <c r="E617" s="64"/>
      <c r="F617" s="64"/>
      <c r="G617" s="64"/>
      <c r="H617" s="64"/>
      <c r="I617" s="67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 ht="12.75" customHeight="1">
      <c r="A618" s="64"/>
      <c r="B618" s="64"/>
      <c r="C618" s="64"/>
      <c r="D618" s="64"/>
      <c r="E618" s="64"/>
      <c r="F618" s="64"/>
      <c r="G618" s="64"/>
      <c r="H618" s="64"/>
      <c r="I618" s="67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 ht="12.75" customHeight="1">
      <c r="A619" s="64"/>
      <c r="B619" s="64"/>
      <c r="C619" s="64"/>
      <c r="D619" s="64"/>
      <c r="E619" s="64"/>
      <c r="F619" s="64"/>
      <c r="G619" s="64"/>
      <c r="H619" s="64"/>
      <c r="I619" s="67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 ht="12.75" customHeight="1">
      <c r="A620" s="64"/>
      <c r="B620" s="64"/>
      <c r="C620" s="64"/>
      <c r="D620" s="64"/>
      <c r="E620" s="64"/>
      <c r="F620" s="64"/>
      <c r="G620" s="64"/>
      <c r="H620" s="64"/>
      <c r="I620" s="67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 ht="12.75" customHeight="1">
      <c r="A621" s="64"/>
      <c r="B621" s="64"/>
      <c r="C621" s="64"/>
      <c r="D621" s="64"/>
      <c r="E621" s="64"/>
      <c r="F621" s="64"/>
      <c r="G621" s="64"/>
      <c r="H621" s="64"/>
      <c r="I621" s="67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 ht="12.75" customHeight="1">
      <c r="A622" s="64"/>
      <c r="B622" s="64"/>
      <c r="C622" s="64"/>
      <c r="D622" s="64"/>
      <c r="E622" s="64"/>
      <c r="F622" s="64"/>
      <c r="G622" s="64"/>
      <c r="H622" s="64"/>
      <c r="I622" s="67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 ht="12.75" customHeight="1">
      <c r="A623" s="64"/>
      <c r="B623" s="64"/>
      <c r="C623" s="64"/>
      <c r="D623" s="64"/>
      <c r="E623" s="64"/>
      <c r="F623" s="64"/>
      <c r="G623" s="64"/>
      <c r="H623" s="64"/>
      <c r="I623" s="67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 ht="12.75" customHeight="1">
      <c r="A624" s="64"/>
      <c r="B624" s="64"/>
      <c r="C624" s="64"/>
      <c r="D624" s="64"/>
      <c r="E624" s="64"/>
      <c r="F624" s="64"/>
      <c r="G624" s="64"/>
      <c r="H624" s="64"/>
      <c r="I624" s="67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 ht="12.75" customHeight="1">
      <c r="A625" s="64"/>
      <c r="B625" s="64"/>
      <c r="C625" s="64"/>
      <c r="D625" s="64"/>
      <c r="E625" s="64"/>
      <c r="F625" s="64"/>
      <c r="G625" s="64"/>
      <c r="H625" s="64"/>
      <c r="I625" s="67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 ht="12.75" customHeight="1">
      <c r="A626" s="64"/>
      <c r="B626" s="64"/>
      <c r="C626" s="64"/>
      <c r="D626" s="64"/>
      <c r="E626" s="64"/>
      <c r="F626" s="64"/>
      <c r="G626" s="64"/>
      <c r="H626" s="64"/>
      <c r="I626" s="67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 ht="12.75" customHeight="1">
      <c r="A627" s="64"/>
      <c r="B627" s="64"/>
      <c r="C627" s="64"/>
      <c r="D627" s="64"/>
      <c r="E627" s="64"/>
      <c r="F627" s="64"/>
      <c r="G627" s="64"/>
      <c r="H627" s="64"/>
      <c r="I627" s="67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 ht="12.75" customHeight="1">
      <c r="A628" s="64"/>
      <c r="B628" s="64"/>
      <c r="C628" s="64"/>
      <c r="D628" s="64"/>
      <c r="E628" s="64"/>
      <c r="F628" s="64"/>
      <c r="G628" s="64"/>
      <c r="H628" s="64"/>
      <c r="I628" s="67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 ht="12.75" customHeight="1">
      <c r="A629" s="64"/>
      <c r="B629" s="64"/>
      <c r="C629" s="64"/>
      <c r="D629" s="64"/>
      <c r="E629" s="64"/>
      <c r="F629" s="64"/>
      <c r="G629" s="64"/>
      <c r="H629" s="64"/>
      <c r="I629" s="67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 ht="12.75" customHeight="1">
      <c r="A630" s="64"/>
      <c r="B630" s="64"/>
      <c r="C630" s="64"/>
      <c r="D630" s="64"/>
      <c r="E630" s="64"/>
      <c r="F630" s="64"/>
      <c r="G630" s="64"/>
      <c r="H630" s="64"/>
      <c r="I630" s="67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 ht="12.75" customHeight="1">
      <c r="A631" s="64"/>
      <c r="B631" s="64"/>
      <c r="C631" s="64"/>
      <c r="D631" s="64"/>
      <c r="E631" s="64"/>
      <c r="F631" s="64"/>
      <c r="G631" s="64"/>
      <c r="H631" s="64"/>
      <c r="I631" s="67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 ht="12.75" customHeight="1">
      <c r="A632" s="64"/>
      <c r="B632" s="64"/>
      <c r="C632" s="64"/>
      <c r="D632" s="64"/>
      <c r="E632" s="64"/>
      <c r="F632" s="64"/>
      <c r="G632" s="64"/>
      <c r="H632" s="64"/>
      <c r="I632" s="67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 ht="12.75" customHeight="1">
      <c r="A633" s="64"/>
      <c r="B633" s="64"/>
      <c r="C633" s="64"/>
      <c r="D633" s="64"/>
      <c r="E633" s="64"/>
      <c r="F633" s="64"/>
      <c r="G633" s="64"/>
      <c r="H633" s="64"/>
      <c r="I633" s="67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 ht="12.75" customHeight="1">
      <c r="A634" s="64"/>
      <c r="B634" s="64"/>
      <c r="C634" s="64"/>
      <c r="D634" s="64"/>
      <c r="E634" s="64"/>
      <c r="F634" s="64"/>
      <c r="G634" s="64"/>
      <c r="H634" s="64"/>
      <c r="I634" s="67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 ht="12.75" customHeight="1">
      <c r="A635" s="64"/>
      <c r="B635" s="64"/>
      <c r="C635" s="64"/>
      <c r="D635" s="64"/>
      <c r="E635" s="64"/>
      <c r="F635" s="64"/>
      <c r="G635" s="64"/>
      <c r="H635" s="64"/>
      <c r="I635" s="67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 ht="12.75" customHeight="1">
      <c r="A636" s="64"/>
      <c r="B636" s="64"/>
      <c r="C636" s="64"/>
      <c r="D636" s="64"/>
      <c r="E636" s="64"/>
      <c r="F636" s="64"/>
      <c r="G636" s="64"/>
      <c r="H636" s="64"/>
      <c r="I636" s="67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 ht="12.75" customHeight="1">
      <c r="A637" s="64"/>
      <c r="B637" s="64"/>
      <c r="C637" s="64"/>
      <c r="D637" s="64"/>
      <c r="E637" s="64"/>
      <c r="F637" s="64"/>
      <c r="G637" s="64"/>
      <c r="H637" s="64"/>
      <c r="I637" s="67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 ht="12.75" customHeight="1">
      <c r="A638" s="64"/>
      <c r="B638" s="64"/>
      <c r="C638" s="64"/>
      <c r="D638" s="64"/>
      <c r="E638" s="64"/>
      <c r="F638" s="64"/>
      <c r="G638" s="64"/>
      <c r="H638" s="64"/>
      <c r="I638" s="67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 ht="12.75" customHeight="1">
      <c r="A639" s="64"/>
      <c r="B639" s="64"/>
      <c r="C639" s="64"/>
      <c r="D639" s="64"/>
      <c r="E639" s="64"/>
      <c r="F639" s="64"/>
      <c r="G639" s="64"/>
      <c r="H639" s="64"/>
      <c r="I639" s="67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 ht="12.75" customHeight="1">
      <c r="A640" s="64"/>
      <c r="B640" s="64"/>
      <c r="C640" s="64"/>
      <c r="D640" s="64"/>
      <c r="E640" s="64"/>
      <c r="F640" s="64"/>
      <c r="G640" s="64"/>
      <c r="H640" s="64"/>
      <c r="I640" s="67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 ht="12.75" customHeight="1">
      <c r="A641" s="64"/>
      <c r="B641" s="64"/>
      <c r="C641" s="64"/>
      <c r="D641" s="64"/>
      <c r="E641" s="64"/>
      <c r="F641" s="64"/>
      <c r="G641" s="64"/>
      <c r="H641" s="64"/>
      <c r="I641" s="67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 ht="12.75" customHeight="1">
      <c r="A642" s="64"/>
      <c r="B642" s="64"/>
      <c r="C642" s="64"/>
      <c r="D642" s="64"/>
      <c r="E642" s="64"/>
      <c r="F642" s="64"/>
      <c r="G642" s="64"/>
      <c r="H642" s="64"/>
      <c r="I642" s="67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 ht="12.75" customHeight="1">
      <c r="A643" s="64"/>
      <c r="B643" s="64"/>
      <c r="C643" s="64"/>
      <c r="D643" s="64"/>
      <c r="E643" s="64"/>
      <c r="F643" s="64"/>
      <c r="G643" s="64"/>
      <c r="H643" s="64"/>
      <c r="I643" s="67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 ht="12.75" customHeight="1">
      <c r="A644" s="64"/>
      <c r="B644" s="64"/>
      <c r="C644" s="64"/>
      <c r="D644" s="64"/>
      <c r="E644" s="64"/>
      <c r="F644" s="64"/>
      <c r="G644" s="64"/>
      <c r="H644" s="64"/>
      <c r="I644" s="67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 ht="12.75" customHeight="1">
      <c r="A645" s="64"/>
      <c r="B645" s="64"/>
      <c r="C645" s="64"/>
      <c r="D645" s="64"/>
      <c r="E645" s="64"/>
      <c r="F645" s="64"/>
      <c r="G645" s="64"/>
      <c r="H645" s="64"/>
      <c r="I645" s="67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 ht="12.75" customHeight="1">
      <c r="A646" s="64"/>
      <c r="B646" s="64"/>
      <c r="C646" s="64"/>
      <c r="D646" s="64"/>
      <c r="E646" s="64"/>
      <c r="F646" s="64"/>
      <c r="G646" s="64"/>
      <c r="H646" s="64"/>
      <c r="I646" s="67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 ht="12.75" customHeight="1">
      <c r="A647" s="64"/>
      <c r="B647" s="64"/>
      <c r="C647" s="64"/>
      <c r="D647" s="64"/>
      <c r="E647" s="64"/>
      <c r="F647" s="64"/>
      <c r="G647" s="64"/>
      <c r="H647" s="64"/>
      <c r="I647" s="67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 ht="12.75" customHeight="1">
      <c r="A648" s="64"/>
      <c r="B648" s="64"/>
      <c r="C648" s="64"/>
      <c r="D648" s="64"/>
      <c r="E648" s="64"/>
      <c r="F648" s="64"/>
      <c r="G648" s="64"/>
      <c r="H648" s="64"/>
      <c r="I648" s="67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 ht="12.75" customHeight="1">
      <c r="A649" s="64"/>
      <c r="B649" s="64"/>
      <c r="C649" s="64"/>
      <c r="D649" s="64"/>
      <c r="E649" s="64"/>
      <c r="F649" s="64"/>
      <c r="G649" s="64"/>
      <c r="H649" s="64"/>
      <c r="I649" s="67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 ht="12.75" customHeight="1">
      <c r="A650" s="64"/>
      <c r="B650" s="64"/>
      <c r="C650" s="64"/>
      <c r="D650" s="64"/>
      <c r="E650" s="64"/>
      <c r="F650" s="64"/>
      <c r="G650" s="64"/>
      <c r="H650" s="64"/>
      <c r="I650" s="67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 ht="12.75" customHeight="1">
      <c r="A651" s="64"/>
      <c r="B651" s="64"/>
      <c r="C651" s="64"/>
      <c r="D651" s="64"/>
      <c r="E651" s="64"/>
      <c r="F651" s="64"/>
      <c r="G651" s="64"/>
      <c r="H651" s="64"/>
      <c r="I651" s="67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 ht="12.75" customHeight="1">
      <c r="A652" s="64"/>
      <c r="B652" s="64"/>
      <c r="C652" s="64"/>
      <c r="D652" s="64"/>
      <c r="E652" s="64"/>
      <c r="F652" s="64"/>
      <c r="G652" s="64"/>
      <c r="H652" s="64"/>
      <c r="I652" s="67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 ht="12.75" customHeight="1">
      <c r="A653" s="64"/>
      <c r="B653" s="64"/>
      <c r="C653" s="64"/>
      <c r="D653" s="64"/>
      <c r="E653" s="64"/>
      <c r="F653" s="64"/>
      <c r="G653" s="64"/>
      <c r="H653" s="64"/>
      <c r="I653" s="67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 ht="12.75" customHeight="1">
      <c r="A654" s="64"/>
      <c r="B654" s="64"/>
      <c r="C654" s="64"/>
      <c r="D654" s="64"/>
      <c r="E654" s="64"/>
      <c r="F654" s="64"/>
      <c r="G654" s="64"/>
      <c r="H654" s="64"/>
      <c r="I654" s="67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 ht="12.75" customHeight="1">
      <c r="A655" s="64"/>
      <c r="B655" s="64"/>
      <c r="C655" s="64"/>
      <c r="D655" s="64"/>
      <c r="E655" s="64"/>
      <c r="F655" s="64"/>
      <c r="G655" s="64"/>
      <c r="H655" s="64"/>
      <c r="I655" s="67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 ht="12.75" customHeight="1">
      <c r="A656" s="64"/>
      <c r="B656" s="64"/>
      <c r="C656" s="64"/>
      <c r="D656" s="64"/>
      <c r="E656" s="64"/>
      <c r="F656" s="64"/>
      <c r="G656" s="64"/>
      <c r="H656" s="64"/>
      <c r="I656" s="67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 ht="12.75" customHeight="1">
      <c r="A657" s="64"/>
      <c r="B657" s="64"/>
      <c r="C657" s="64"/>
      <c r="D657" s="64"/>
      <c r="E657" s="64"/>
      <c r="F657" s="64"/>
      <c r="G657" s="64"/>
      <c r="H657" s="64"/>
      <c r="I657" s="67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 ht="12.75" customHeight="1">
      <c r="A658" s="64"/>
      <c r="B658" s="64"/>
      <c r="C658" s="64"/>
      <c r="D658" s="64"/>
      <c r="E658" s="64"/>
      <c r="F658" s="64"/>
      <c r="G658" s="64"/>
      <c r="H658" s="64"/>
      <c r="I658" s="67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 ht="12.75" customHeight="1">
      <c r="A659" s="64"/>
      <c r="B659" s="64"/>
      <c r="C659" s="64"/>
      <c r="D659" s="64"/>
      <c r="E659" s="64"/>
      <c r="F659" s="64"/>
      <c r="G659" s="64"/>
      <c r="H659" s="64"/>
      <c r="I659" s="67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 ht="12.75" customHeight="1">
      <c r="A660" s="64"/>
      <c r="B660" s="64"/>
      <c r="C660" s="64"/>
      <c r="D660" s="64"/>
      <c r="E660" s="64"/>
      <c r="F660" s="64"/>
      <c r="G660" s="64"/>
      <c r="H660" s="64"/>
      <c r="I660" s="67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 ht="12.75" customHeight="1">
      <c r="A661" s="64"/>
      <c r="B661" s="64"/>
      <c r="C661" s="64"/>
      <c r="D661" s="64"/>
      <c r="E661" s="64"/>
      <c r="F661" s="64"/>
      <c r="G661" s="64"/>
      <c r="H661" s="64"/>
      <c r="I661" s="67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 ht="12.75" customHeight="1">
      <c r="A662" s="64"/>
      <c r="B662" s="64"/>
      <c r="C662" s="64"/>
      <c r="D662" s="64"/>
      <c r="E662" s="64"/>
      <c r="F662" s="64"/>
      <c r="G662" s="64"/>
      <c r="H662" s="64"/>
      <c r="I662" s="67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 ht="12.75" customHeight="1">
      <c r="A663" s="64"/>
      <c r="B663" s="64"/>
      <c r="C663" s="64"/>
      <c r="D663" s="64"/>
      <c r="E663" s="64"/>
      <c r="F663" s="64"/>
      <c r="G663" s="64"/>
      <c r="H663" s="64"/>
      <c r="I663" s="67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 ht="12.75" customHeight="1">
      <c r="A664" s="64"/>
      <c r="B664" s="64"/>
      <c r="C664" s="64"/>
      <c r="D664" s="64"/>
      <c r="E664" s="64"/>
      <c r="F664" s="64"/>
      <c r="G664" s="64"/>
      <c r="H664" s="64"/>
      <c r="I664" s="67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 ht="12.75" customHeight="1">
      <c r="A665" s="64"/>
      <c r="B665" s="64"/>
      <c r="C665" s="64"/>
      <c r="D665" s="64"/>
      <c r="E665" s="64"/>
      <c r="F665" s="64"/>
      <c r="G665" s="64"/>
      <c r="H665" s="64"/>
      <c r="I665" s="67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 ht="12.75" customHeight="1">
      <c r="A666" s="64"/>
      <c r="B666" s="64"/>
      <c r="C666" s="64"/>
      <c r="D666" s="64"/>
      <c r="E666" s="64"/>
      <c r="F666" s="64"/>
      <c r="G666" s="64"/>
      <c r="H666" s="64"/>
      <c r="I666" s="67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 ht="12.75" customHeight="1">
      <c r="A667" s="64"/>
      <c r="B667" s="64"/>
      <c r="C667" s="64"/>
      <c r="D667" s="64"/>
      <c r="E667" s="64"/>
      <c r="F667" s="64"/>
      <c r="G667" s="64"/>
      <c r="H667" s="64"/>
      <c r="I667" s="67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 ht="12.75" customHeight="1">
      <c r="A668" s="64"/>
      <c r="B668" s="64"/>
      <c r="C668" s="64"/>
      <c r="D668" s="64"/>
      <c r="E668" s="64"/>
      <c r="F668" s="64"/>
      <c r="G668" s="64"/>
      <c r="H668" s="64"/>
      <c r="I668" s="67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 ht="12.75" customHeight="1">
      <c r="A669" s="64"/>
      <c r="B669" s="64"/>
      <c r="C669" s="64"/>
      <c r="D669" s="64"/>
      <c r="E669" s="64"/>
      <c r="F669" s="64"/>
      <c r="G669" s="64"/>
      <c r="H669" s="64"/>
      <c r="I669" s="67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 ht="12.75" customHeight="1">
      <c r="A670" s="64"/>
      <c r="B670" s="64"/>
      <c r="C670" s="64"/>
      <c r="D670" s="64"/>
      <c r="E670" s="64"/>
      <c r="F670" s="64"/>
      <c r="G670" s="64"/>
      <c r="H670" s="64"/>
      <c r="I670" s="67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 ht="12.75" customHeight="1">
      <c r="A671" s="64"/>
      <c r="B671" s="64"/>
      <c r="C671" s="64"/>
      <c r="D671" s="64"/>
      <c r="E671" s="64"/>
      <c r="F671" s="64"/>
      <c r="G671" s="64"/>
      <c r="H671" s="64"/>
      <c r="I671" s="67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 ht="12.75" customHeight="1">
      <c r="A672" s="64"/>
      <c r="B672" s="64"/>
      <c r="C672" s="64"/>
      <c r="D672" s="64"/>
      <c r="E672" s="64"/>
      <c r="F672" s="64"/>
      <c r="G672" s="64"/>
      <c r="H672" s="64"/>
      <c r="I672" s="67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 ht="12.75" customHeight="1">
      <c r="A673" s="64"/>
      <c r="B673" s="64"/>
      <c r="C673" s="64"/>
      <c r="D673" s="64"/>
      <c r="E673" s="64"/>
      <c r="F673" s="64"/>
      <c r="G673" s="64"/>
      <c r="H673" s="64"/>
      <c r="I673" s="67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 ht="12.75" customHeight="1">
      <c r="A674" s="64"/>
      <c r="B674" s="64"/>
      <c r="C674" s="64"/>
      <c r="D674" s="64"/>
      <c r="E674" s="64"/>
      <c r="F674" s="64"/>
      <c r="G674" s="64"/>
      <c r="H674" s="64"/>
      <c r="I674" s="67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 ht="12.75" customHeight="1">
      <c r="A675" s="64"/>
      <c r="B675" s="64"/>
      <c r="C675" s="64"/>
      <c r="D675" s="64"/>
      <c r="E675" s="64"/>
      <c r="F675" s="64"/>
      <c r="G675" s="64"/>
      <c r="H675" s="64"/>
      <c r="I675" s="67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 ht="12.75" customHeight="1">
      <c r="A676" s="64"/>
      <c r="B676" s="64"/>
      <c r="C676" s="64"/>
      <c r="D676" s="64"/>
      <c r="E676" s="64"/>
      <c r="F676" s="64"/>
      <c r="G676" s="64"/>
      <c r="H676" s="64"/>
      <c r="I676" s="67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 ht="12.75" customHeight="1">
      <c r="A677" s="64"/>
      <c r="B677" s="64"/>
      <c r="C677" s="64"/>
      <c r="D677" s="64"/>
      <c r="E677" s="64"/>
      <c r="F677" s="64"/>
      <c r="G677" s="64"/>
      <c r="H677" s="64"/>
      <c r="I677" s="67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 ht="12.75" customHeight="1">
      <c r="A678" s="64"/>
      <c r="B678" s="64"/>
      <c r="C678" s="64"/>
      <c r="D678" s="64"/>
      <c r="E678" s="64"/>
      <c r="F678" s="64"/>
      <c r="G678" s="64"/>
      <c r="H678" s="64"/>
      <c r="I678" s="67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 ht="12.75" customHeight="1">
      <c r="A679" s="64"/>
      <c r="B679" s="64"/>
      <c r="C679" s="64"/>
      <c r="D679" s="64"/>
      <c r="E679" s="64"/>
      <c r="F679" s="64"/>
      <c r="G679" s="64"/>
      <c r="H679" s="64"/>
      <c r="I679" s="67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 ht="12.75" customHeight="1">
      <c r="A680" s="64"/>
      <c r="B680" s="64"/>
      <c r="C680" s="64"/>
      <c r="D680" s="64"/>
      <c r="E680" s="64"/>
      <c r="F680" s="64"/>
      <c r="G680" s="64"/>
      <c r="H680" s="64"/>
      <c r="I680" s="67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 ht="12.75" customHeight="1">
      <c r="A681" s="64"/>
      <c r="B681" s="64"/>
      <c r="C681" s="64"/>
      <c r="D681" s="64"/>
      <c r="E681" s="64"/>
      <c r="F681" s="64"/>
      <c r="G681" s="64"/>
      <c r="H681" s="64"/>
      <c r="I681" s="67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 ht="12.75" customHeight="1">
      <c r="A682" s="64"/>
      <c r="B682" s="64"/>
      <c r="C682" s="64"/>
      <c r="D682" s="64"/>
      <c r="E682" s="64"/>
      <c r="F682" s="64"/>
      <c r="G682" s="64"/>
      <c r="H682" s="64"/>
      <c r="I682" s="67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 ht="12.75" customHeight="1">
      <c r="A683" s="64"/>
      <c r="B683" s="64"/>
      <c r="C683" s="64"/>
      <c r="D683" s="64"/>
      <c r="E683" s="64"/>
      <c r="F683" s="64"/>
      <c r="G683" s="64"/>
      <c r="H683" s="64"/>
      <c r="I683" s="67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 ht="12.75" customHeight="1">
      <c r="A684" s="64"/>
      <c r="B684" s="64"/>
      <c r="C684" s="64"/>
      <c r="D684" s="64"/>
      <c r="E684" s="64"/>
      <c r="F684" s="64"/>
      <c r="G684" s="64"/>
      <c r="H684" s="64"/>
      <c r="I684" s="67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 ht="12.75" customHeight="1">
      <c r="A685" s="64"/>
      <c r="B685" s="64"/>
      <c r="C685" s="64"/>
      <c r="D685" s="64"/>
      <c r="E685" s="64"/>
      <c r="F685" s="64"/>
      <c r="G685" s="64"/>
      <c r="H685" s="64"/>
      <c r="I685" s="67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 ht="12.75" customHeight="1">
      <c r="A686" s="64"/>
      <c r="B686" s="64"/>
      <c r="C686" s="64"/>
      <c r="D686" s="64"/>
      <c r="E686" s="64"/>
      <c r="F686" s="64"/>
      <c r="G686" s="64"/>
      <c r="H686" s="64"/>
      <c r="I686" s="67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 ht="12.75" customHeight="1">
      <c r="A687" s="64"/>
      <c r="B687" s="64"/>
      <c r="C687" s="64"/>
      <c r="D687" s="64"/>
      <c r="E687" s="64"/>
      <c r="F687" s="64"/>
      <c r="G687" s="64"/>
      <c r="H687" s="64"/>
      <c r="I687" s="67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 ht="12.75" customHeight="1">
      <c r="A688" s="64"/>
      <c r="B688" s="64"/>
      <c r="C688" s="64"/>
      <c r="D688" s="64"/>
      <c r="E688" s="64"/>
      <c r="F688" s="64"/>
      <c r="G688" s="64"/>
      <c r="H688" s="64"/>
      <c r="I688" s="67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 ht="12.75" customHeight="1">
      <c r="A689" s="64"/>
      <c r="B689" s="64"/>
      <c r="C689" s="64"/>
      <c r="D689" s="64"/>
      <c r="E689" s="64"/>
      <c r="F689" s="64"/>
      <c r="G689" s="64"/>
      <c r="H689" s="64"/>
      <c r="I689" s="67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 ht="12.75" customHeight="1">
      <c r="A690" s="64"/>
      <c r="B690" s="64"/>
      <c r="C690" s="64"/>
      <c r="D690" s="64"/>
      <c r="E690" s="64"/>
      <c r="F690" s="64"/>
      <c r="G690" s="64"/>
      <c r="H690" s="64"/>
      <c r="I690" s="67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 ht="12.75" customHeight="1">
      <c r="A691" s="64"/>
      <c r="B691" s="64"/>
      <c r="C691" s="64"/>
      <c r="D691" s="64"/>
      <c r="E691" s="64"/>
      <c r="F691" s="64"/>
      <c r="G691" s="64"/>
      <c r="H691" s="64"/>
      <c r="I691" s="67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 ht="12.75" customHeight="1">
      <c r="A692" s="64"/>
      <c r="B692" s="64"/>
      <c r="C692" s="64"/>
      <c r="D692" s="64"/>
      <c r="E692" s="64"/>
      <c r="F692" s="64"/>
      <c r="G692" s="64"/>
      <c r="H692" s="64"/>
      <c r="I692" s="67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 ht="12.75" customHeight="1">
      <c r="A693" s="64"/>
      <c r="B693" s="64"/>
      <c r="C693" s="64"/>
      <c r="D693" s="64"/>
      <c r="E693" s="64"/>
      <c r="F693" s="64"/>
      <c r="G693" s="64"/>
      <c r="H693" s="64"/>
      <c r="I693" s="67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 ht="12.75" customHeight="1">
      <c r="A694" s="64"/>
      <c r="B694" s="64"/>
      <c r="C694" s="64"/>
      <c r="D694" s="64"/>
      <c r="E694" s="64"/>
      <c r="F694" s="64"/>
      <c r="G694" s="64"/>
      <c r="H694" s="64"/>
      <c r="I694" s="67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 ht="12.75" customHeight="1">
      <c r="A695" s="64"/>
      <c r="B695" s="64"/>
      <c r="C695" s="64"/>
      <c r="D695" s="64"/>
      <c r="E695" s="64"/>
      <c r="F695" s="64"/>
      <c r="G695" s="64"/>
      <c r="H695" s="64"/>
      <c r="I695" s="67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 ht="12.75" customHeight="1">
      <c r="A696" s="64"/>
      <c r="B696" s="64"/>
      <c r="C696" s="64"/>
      <c r="D696" s="64"/>
      <c r="E696" s="64"/>
      <c r="F696" s="64"/>
      <c r="G696" s="64"/>
      <c r="H696" s="64"/>
      <c r="I696" s="67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 ht="12.75" customHeight="1">
      <c r="A697" s="64"/>
      <c r="B697" s="64"/>
      <c r="C697" s="64"/>
      <c r="D697" s="64"/>
      <c r="E697" s="64"/>
      <c r="F697" s="64"/>
      <c r="G697" s="64"/>
      <c r="H697" s="64"/>
      <c r="I697" s="67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 ht="12.75" customHeight="1">
      <c r="A698" s="64"/>
      <c r="B698" s="64"/>
      <c r="C698" s="64"/>
      <c r="D698" s="64"/>
      <c r="E698" s="64"/>
      <c r="F698" s="64"/>
      <c r="G698" s="64"/>
      <c r="H698" s="64"/>
      <c r="I698" s="67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 ht="12.75" customHeight="1">
      <c r="A699" s="64"/>
      <c r="B699" s="64"/>
      <c r="C699" s="64"/>
      <c r="D699" s="64"/>
      <c r="E699" s="64"/>
      <c r="F699" s="64"/>
      <c r="G699" s="64"/>
      <c r="H699" s="64"/>
      <c r="I699" s="67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 ht="12.75" customHeight="1">
      <c r="A700" s="64"/>
      <c r="B700" s="64"/>
      <c r="C700" s="64"/>
      <c r="D700" s="64"/>
      <c r="E700" s="64"/>
      <c r="F700" s="64"/>
      <c r="G700" s="64"/>
      <c r="H700" s="64"/>
      <c r="I700" s="67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 ht="12.75" customHeight="1">
      <c r="A701" s="64"/>
      <c r="B701" s="64"/>
      <c r="C701" s="64"/>
      <c r="D701" s="64"/>
      <c r="E701" s="64"/>
      <c r="F701" s="64"/>
      <c r="G701" s="64"/>
      <c r="H701" s="64"/>
      <c r="I701" s="67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 ht="12.75" customHeight="1">
      <c r="A702" s="64"/>
      <c r="B702" s="64"/>
      <c r="C702" s="64"/>
      <c r="D702" s="64"/>
      <c r="E702" s="64"/>
      <c r="F702" s="64"/>
      <c r="G702" s="64"/>
      <c r="H702" s="64"/>
      <c r="I702" s="67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 ht="12.75" customHeight="1">
      <c r="A703" s="64"/>
      <c r="B703" s="64"/>
      <c r="C703" s="64"/>
      <c r="D703" s="64"/>
      <c r="E703" s="64"/>
      <c r="F703" s="64"/>
      <c r="G703" s="64"/>
      <c r="H703" s="64"/>
      <c r="I703" s="67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 ht="12.75" customHeight="1">
      <c r="A704" s="64"/>
      <c r="B704" s="64"/>
      <c r="C704" s="64"/>
      <c r="D704" s="64"/>
      <c r="E704" s="64"/>
      <c r="F704" s="64"/>
      <c r="G704" s="64"/>
      <c r="H704" s="64"/>
      <c r="I704" s="67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 ht="12.75" customHeight="1">
      <c r="A705" s="64"/>
      <c r="B705" s="64"/>
      <c r="C705" s="64"/>
      <c r="D705" s="64"/>
      <c r="E705" s="64"/>
      <c r="F705" s="64"/>
      <c r="G705" s="64"/>
      <c r="H705" s="64"/>
      <c r="I705" s="67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 ht="12.75" customHeight="1">
      <c r="A706" s="64"/>
      <c r="B706" s="64"/>
      <c r="C706" s="64"/>
      <c r="D706" s="64"/>
      <c r="E706" s="64"/>
      <c r="F706" s="64"/>
      <c r="G706" s="64"/>
      <c r="H706" s="64"/>
      <c r="I706" s="67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 ht="12.75" customHeight="1">
      <c r="A707" s="64"/>
      <c r="B707" s="64"/>
      <c r="C707" s="64"/>
      <c r="D707" s="64"/>
      <c r="E707" s="64"/>
      <c r="F707" s="64"/>
      <c r="G707" s="64"/>
      <c r="H707" s="64"/>
      <c r="I707" s="67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 ht="12.75" customHeight="1">
      <c r="A708" s="64"/>
      <c r="B708" s="64"/>
      <c r="C708" s="64"/>
      <c r="D708" s="64"/>
      <c r="E708" s="64"/>
      <c r="F708" s="64"/>
      <c r="G708" s="64"/>
      <c r="H708" s="64"/>
      <c r="I708" s="67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 ht="12.75" customHeight="1">
      <c r="A709" s="64"/>
      <c r="B709" s="64"/>
      <c r="C709" s="64"/>
      <c r="D709" s="64"/>
      <c r="E709" s="64"/>
      <c r="F709" s="64"/>
      <c r="G709" s="64"/>
      <c r="H709" s="64"/>
      <c r="I709" s="67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 ht="12.75" customHeight="1">
      <c r="A710" s="64"/>
      <c r="B710" s="64"/>
      <c r="C710" s="64"/>
      <c r="D710" s="64"/>
      <c r="E710" s="64"/>
      <c r="F710" s="64"/>
      <c r="G710" s="64"/>
      <c r="H710" s="64"/>
      <c r="I710" s="67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 ht="12.75" customHeight="1">
      <c r="A711" s="64"/>
      <c r="B711" s="64"/>
      <c r="C711" s="64"/>
      <c r="D711" s="64"/>
      <c r="E711" s="64"/>
      <c r="F711" s="64"/>
      <c r="G711" s="64"/>
      <c r="H711" s="64"/>
      <c r="I711" s="67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 ht="12.75" customHeight="1">
      <c r="A712" s="64"/>
      <c r="B712" s="64"/>
      <c r="C712" s="64"/>
      <c r="D712" s="64"/>
      <c r="E712" s="64"/>
      <c r="F712" s="64"/>
      <c r="G712" s="64"/>
      <c r="H712" s="64"/>
      <c r="I712" s="67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 ht="12.75" customHeight="1">
      <c r="A713" s="64"/>
      <c r="B713" s="64"/>
      <c r="C713" s="64"/>
      <c r="D713" s="64"/>
      <c r="E713" s="64"/>
      <c r="F713" s="64"/>
      <c r="G713" s="64"/>
      <c r="H713" s="64"/>
      <c r="I713" s="67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 ht="12.75" customHeight="1">
      <c r="A714" s="64"/>
      <c r="B714" s="64"/>
      <c r="C714" s="64"/>
      <c r="D714" s="64"/>
      <c r="E714" s="64"/>
      <c r="F714" s="64"/>
      <c r="G714" s="64"/>
      <c r="H714" s="64"/>
      <c r="I714" s="67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 ht="12.75" customHeight="1">
      <c r="A715" s="64"/>
      <c r="B715" s="64"/>
      <c r="C715" s="64"/>
      <c r="D715" s="64"/>
      <c r="E715" s="64"/>
      <c r="F715" s="64"/>
      <c r="G715" s="64"/>
      <c r="H715" s="64"/>
      <c r="I715" s="67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 ht="12.75" customHeight="1">
      <c r="A716" s="64"/>
      <c r="B716" s="64"/>
      <c r="C716" s="64"/>
      <c r="D716" s="64"/>
      <c r="E716" s="64"/>
      <c r="F716" s="64"/>
      <c r="G716" s="64"/>
      <c r="H716" s="64"/>
      <c r="I716" s="67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 ht="12.75" customHeight="1">
      <c r="A717" s="64"/>
      <c r="B717" s="64"/>
      <c r="C717" s="64"/>
      <c r="D717" s="64"/>
      <c r="E717" s="64"/>
      <c r="F717" s="64"/>
      <c r="G717" s="64"/>
      <c r="H717" s="64"/>
      <c r="I717" s="67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 ht="12.75" customHeight="1">
      <c r="A718" s="64"/>
      <c r="B718" s="64"/>
      <c r="C718" s="64"/>
      <c r="D718" s="64"/>
      <c r="E718" s="64"/>
      <c r="F718" s="64"/>
      <c r="G718" s="64"/>
      <c r="H718" s="64"/>
      <c r="I718" s="67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 ht="12.75" customHeight="1">
      <c r="A719" s="64"/>
      <c r="B719" s="64"/>
      <c r="C719" s="64"/>
      <c r="D719" s="64"/>
      <c r="E719" s="64"/>
      <c r="F719" s="64"/>
      <c r="G719" s="64"/>
      <c r="H719" s="64"/>
      <c r="I719" s="67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 ht="12.75" customHeight="1">
      <c r="A720" s="64"/>
      <c r="B720" s="64"/>
      <c r="C720" s="64"/>
      <c r="D720" s="64"/>
      <c r="E720" s="64"/>
      <c r="F720" s="64"/>
      <c r="G720" s="64"/>
      <c r="H720" s="64"/>
      <c r="I720" s="67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 ht="12.75" customHeight="1">
      <c r="A721" s="64"/>
      <c r="B721" s="64"/>
      <c r="C721" s="64"/>
      <c r="D721" s="64"/>
      <c r="E721" s="64"/>
      <c r="F721" s="64"/>
      <c r="G721" s="64"/>
      <c r="H721" s="64"/>
      <c r="I721" s="67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 ht="12.75" customHeight="1">
      <c r="A722" s="64"/>
      <c r="B722" s="64"/>
      <c r="C722" s="64"/>
      <c r="D722" s="64"/>
      <c r="E722" s="64"/>
      <c r="F722" s="64"/>
      <c r="G722" s="64"/>
      <c r="H722" s="64"/>
      <c r="I722" s="67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 ht="12.75" customHeight="1">
      <c r="A723" s="64"/>
      <c r="B723" s="64"/>
      <c r="C723" s="64"/>
      <c r="D723" s="64"/>
      <c r="E723" s="64"/>
      <c r="F723" s="64"/>
      <c r="G723" s="64"/>
      <c r="H723" s="64"/>
      <c r="I723" s="67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 ht="12.75" customHeight="1">
      <c r="A724" s="64"/>
      <c r="B724" s="64"/>
      <c r="C724" s="64"/>
      <c r="D724" s="64"/>
      <c r="E724" s="64"/>
      <c r="F724" s="64"/>
      <c r="G724" s="64"/>
      <c r="H724" s="64"/>
      <c r="I724" s="67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 ht="12.75" customHeight="1">
      <c r="A725" s="64"/>
      <c r="B725" s="64"/>
      <c r="C725" s="64"/>
      <c r="D725" s="64"/>
      <c r="E725" s="64"/>
      <c r="F725" s="64"/>
      <c r="G725" s="64"/>
      <c r="H725" s="64"/>
      <c r="I725" s="67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 ht="12.75" customHeight="1">
      <c r="A726" s="64"/>
      <c r="B726" s="64"/>
      <c r="C726" s="64"/>
      <c r="D726" s="64"/>
      <c r="E726" s="64"/>
      <c r="F726" s="64"/>
      <c r="G726" s="64"/>
      <c r="H726" s="64"/>
      <c r="I726" s="67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 ht="12.75" customHeight="1">
      <c r="A727" s="64"/>
      <c r="B727" s="64"/>
      <c r="C727" s="64"/>
      <c r="D727" s="64"/>
      <c r="E727" s="64"/>
      <c r="F727" s="64"/>
      <c r="G727" s="64"/>
      <c r="H727" s="64"/>
      <c r="I727" s="67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 ht="12.75" customHeight="1">
      <c r="A728" s="64"/>
      <c r="B728" s="64"/>
      <c r="C728" s="64"/>
      <c r="D728" s="64"/>
      <c r="E728" s="64"/>
      <c r="F728" s="64"/>
      <c r="G728" s="64"/>
      <c r="H728" s="64"/>
      <c r="I728" s="67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 ht="12.75" customHeight="1">
      <c r="A729" s="64"/>
      <c r="B729" s="64"/>
      <c r="C729" s="64"/>
      <c r="D729" s="64"/>
      <c r="E729" s="64"/>
      <c r="F729" s="64"/>
      <c r="G729" s="64"/>
      <c r="H729" s="64"/>
      <c r="I729" s="67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 ht="12.75" customHeight="1">
      <c r="A730" s="64"/>
      <c r="B730" s="64"/>
      <c r="C730" s="64"/>
      <c r="D730" s="64"/>
      <c r="E730" s="64"/>
      <c r="F730" s="64"/>
      <c r="G730" s="64"/>
      <c r="H730" s="64"/>
      <c r="I730" s="67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 ht="12.75" customHeight="1">
      <c r="A731" s="64"/>
      <c r="B731" s="64"/>
      <c r="C731" s="64"/>
      <c r="D731" s="64"/>
      <c r="E731" s="64"/>
      <c r="F731" s="64"/>
      <c r="G731" s="64"/>
      <c r="H731" s="64"/>
      <c r="I731" s="67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 ht="12.75" customHeight="1">
      <c r="A732" s="64"/>
      <c r="B732" s="64"/>
      <c r="C732" s="64"/>
      <c r="D732" s="64"/>
      <c r="E732" s="64"/>
      <c r="F732" s="64"/>
      <c r="G732" s="64"/>
      <c r="H732" s="64"/>
      <c r="I732" s="67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 ht="12.75" customHeight="1">
      <c r="A733" s="64"/>
      <c r="B733" s="64"/>
      <c r="C733" s="64"/>
      <c r="D733" s="64"/>
      <c r="E733" s="64"/>
      <c r="F733" s="64"/>
      <c r="G733" s="64"/>
      <c r="H733" s="64"/>
      <c r="I733" s="67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 ht="12.75" customHeight="1">
      <c r="A734" s="64"/>
      <c r="B734" s="64"/>
      <c r="C734" s="64"/>
      <c r="D734" s="64"/>
      <c r="E734" s="64"/>
      <c r="F734" s="64"/>
      <c r="G734" s="64"/>
      <c r="H734" s="64"/>
      <c r="I734" s="67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 ht="12.75" customHeight="1">
      <c r="A735" s="64"/>
      <c r="B735" s="64"/>
      <c r="C735" s="64"/>
      <c r="D735" s="64"/>
      <c r="E735" s="64"/>
      <c r="F735" s="64"/>
      <c r="G735" s="64"/>
      <c r="H735" s="64"/>
      <c r="I735" s="67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 ht="12.75" customHeight="1">
      <c r="A736" s="64"/>
      <c r="B736" s="64"/>
      <c r="C736" s="64"/>
      <c r="D736" s="64"/>
      <c r="E736" s="64"/>
      <c r="F736" s="64"/>
      <c r="G736" s="64"/>
      <c r="H736" s="64"/>
      <c r="I736" s="67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 ht="12.75" customHeight="1">
      <c r="A737" s="64"/>
      <c r="B737" s="64"/>
      <c r="C737" s="64"/>
      <c r="D737" s="64"/>
      <c r="E737" s="64"/>
      <c r="F737" s="64"/>
      <c r="G737" s="64"/>
      <c r="H737" s="64"/>
      <c r="I737" s="67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 ht="12.75" customHeight="1">
      <c r="A738" s="64"/>
      <c r="B738" s="64"/>
      <c r="C738" s="64"/>
      <c r="D738" s="64"/>
      <c r="E738" s="64"/>
      <c r="F738" s="64"/>
      <c r="G738" s="64"/>
      <c r="H738" s="64"/>
      <c r="I738" s="67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 ht="12.75" customHeight="1">
      <c r="A739" s="64"/>
      <c r="B739" s="64"/>
      <c r="C739" s="64"/>
      <c r="D739" s="64"/>
      <c r="E739" s="64"/>
      <c r="F739" s="64"/>
      <c r="G739" s="64"/>
      <c r="H739" s="64"/>
      <c r="I739" s="67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 ht="12.75" customHeight="1">
      <c r="A740" s="64"/>
      <c r="B740" s="64"/>
      <c r="C740" s="64"/>
      <c r="D740" s="64"/>
      <c r="E740" s="64"/>
      <c r="F740" s="64"/>
      <c r="G740" s="64"/>
      <c r="H740" s="64"/>
      <c r="I740" s="67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 ht="12.75" customHeight="1">
      <c r="A741" s="64"/>
      <c r="B741" s="64"/>
      <c r="C741" s="64"/>
      <c r="D741" s="64"/>
      <c r="E741" s="64"/>
      <c r="F741" s="64"/>
      <c r="G741" s="64"/>
      <c r="H741" s="64"/>
      <c r="I741" s="67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 ht="12.75" customHeight="1">
      <c r="A742" s="64"/>
      <c r="B742" s="64"/>
      <c r="C742" s="64"/>
      <c r="D742" s="64"/>
      <c r="E742" s="64"/>
      <c r="F742" s="64"/>
      <c r="G742" s="64"/>
      <c r="H742" s="64"/>
      <c r="I742" s="67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 ht="12.75" customHeight="1">
      <c r="A743" s="64"/>
      <c r="B743" s="64"/>
      <c r="C743" s="64"/>
      <c r="D743" s="64"/>
      <c r="E743" s="64"/>
      <c r="F743" s="64"/>
      <c r="G743" s="64"/>
      <c r="H743" s="64"/>
      <c r="I743" s="67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 ht="12.75" customHeight="1">
      <c r="A744" s="64"/>
      <c r="B744" s="64"/>
      <c r="C744" s="64"/>
      <c r="D744" s="64"/>
      <c r="E744" s="64"/>
      <c r="F744" s="64"/>
      <c r="G744" s="64"/>
      <c r="H744" s="64"/>
      <c r="I744" s="67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 ht="12.75" customHeight="1">
      <c r="A745" s="64"/>
      <c r="B745" s="64"/>
      <c r="C745" s="64"/>
      <c r="D745" s="64"/>
      <c r="E745" s="64"/>
      <c r="F745" s="64"/>
      <c r="G745" s="64"/>
      <c r="H745" s="64"/>
      <c r="I745" s="67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 ht="12.75" customHeight="1">
      <c r="A746" s="64"/>
      <c r="B746" s="64"/>
      <c r="C746" s="64"/>
      <c r="D746" s="64"/>
      <c r="E746" s="64"/>
      <c r="F746" s="64"/>
      <c r="G746" s="64"/>
      <c r="H746" s="64"/>
      <c r="I746" s="67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 ht="12.75" customHeight="1">
      <c r="A747" s="64"/>
      <c r="B747" s="64"/>
      <c r="C747" s="64"/>
      <c r="D747" s="64"/>
      <c r="E747" s="64"/>
      <c r="F747" s="64"/>
      <c r="G747" s="64"/>
      <c r="H747" s="64"/>
      <c r="I747" s="67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 ht="12.75" customHeight="1">
      <c r="A748" s="64"/>
      <c r="B748" s="64"/>
      <c r="C748" s="64"/>
      <c r="D748" s="64"/>
      <c r="E748" s="64"/>
      <c r="F748" s="64"/>
      <c r="G748" s="64"/>
      <c r="H748" s="64"/>
      <c r="I748" s="67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 ht="12.75" customHeight="1">
      <c r="A749" s="64"/>
      <c r="B749" s="64"/>
      <c r="C749" s="64"/>
      <c r="D749" s="64"/>
      <c r="E749" s="64"/>
      <c r="F749" s="64"/>
      <c r="G749" s="64"/>
      <c r="H749" s="64"/>
      <c r="I749" s="67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 ht="12.75" customHeight="1">
      <c r="A750" s="64"/>
      <c r="B750" s="64"/>
      <c r="C750" s="64"/>
      <c r="D750" s="64"/>
      <c r="E750" s="64"/>
      <c r="F750" s="64"/>
      <c r="G750" s="64"/>
      <c r="H750" s="64"/>
      <c r="I750" s="67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 ht="12.75" customHeight="1">
      <c r="A751" s="64"/>
      <c r="B751" s="64"/>
      <c r="C751" s="64"/>
      <c r="D751" s="64"/>
      <c r="E751" s="64"/>
      <c r="F751" s="64"/>
      <c r="G751" s="64"/>
      <c r="H751" s="64"/>
      <c r="I751" s="67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 ht="12.75" customHeight="1">
      <c r="A752" s="64"/>
      <c r="B752" s="64"/>
      <c r="C752" s="64"/>
      <c r="D752" s="64"/>
      <c r="E752" s="64"/>
      <c r="F752" s="64"/>
      <c r="G752" s="64"/>
      <c r="H752" s="64"/>
      <c r="I752" s="67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 ht="12.75" customHeight="1">
      <c r="A753" s="64"/>
      <c r="B753" s="64"/>
      <c r="C753" s="64"/>
      <c r="D753" s="64"/>
      <c r="E753" s="64"/>
      <c r="F753" s="64"/>
      <c r="G753" s="64"/>
      <c r="H753" s="64"/>
      <c r="I753" s="67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 ht="12.75" customHeight="1">
      <c r="A754" s="64"/>
      <c r="B754" s="64"/>
      <c r="C754" s="64"/>
      <c r="D754" s="64"/>
      <c r="E754" s="64"/>
      <c r="F754" s="64"/>
      <c r="G754" s="64"/>
      <c r="H754" s="64"/>
      <c r="I754" s="67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 ht="12.75" customHeight="1">
      <c r="A755" s="64"/>
      <c r="B755" s="64"/>
      <c r="C755" s="64"/>
      <c r="D755" s="64"/>
      <c r="E755" s="64"/>
      <c r="F755" s="64"/>
      <c r="G755" s="64"/>
      <c r="H755" s="64"/>
      <c r="I755" s="67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 ht="12.75" customHeight="1">
      <c r="A756" s="64"/>
      <c r="B756" s="64"/>
      <c r="C756" s="64"/>
      <c r="D756" s="64"/>
      <c r="E756" s="64"/>
      <c r="F756" s="64"/>
      <c r="G756" s="64"/>
      <c r="H756" s="64"/>
      <c r="I756" s="67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 ht="12.75" customHeight="1">
      <c r="A757" s="64"/>
      <c r="B757" s="64"/>
      <c r="C757" s="64"/>
      <c r="D757" s="64"/>
      <c r="E757" s="64"/>
      <c r="F757" s="64"/>
      <c r="G757" s="64"/>
      <c r="H757" s="64"/>
      <c r="I757" s="67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 ht="12.75" customHeight="1">
      <c r="A758" s="64"/>
      <c r="B758" s="64"/>
      <c r="C758" s="64"/>
      <c r="D758" s="64"/>
      <c r="E758" s="64"/>
      <c r="F758" s="64"/>
      <c r="G758" s="64"/>
      <c r="H758" s="64"/>
      <c r="I758" s="67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 ht="12.75" customHeight="1">
      <c r="A759" s="64"/>
      <c r="B759" s="64"/>
      <c r="C759" s="64"/>
      <c r="D759" s="64"/>
      <c r="E759" s="64"/>
      <c r="F759" s="64"/>
      <c r="G759" s="64"/>
      <c r="H759" s="64"/>
      <c r="I759" s="67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 ht="12.75" customHeight="1">
      <c r="A760" s="64"/>
      <c r="B760" s="64"/>
      <c r="C760" s="64"/>
      <c r="D760" s="64"/>
      <c r="E760" s="64"/>
      <c r="F760" s="64"/>
      <c r="G760" s="64"/>
      <c r="H760" s="64"/>
      <c r="I760" s="67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 ht="12.75" customHeight="1">
      <c r="A761" s="64"/>
      <c r="B761" s="64"/>
      <c r="C761" s="64"/>
      <c r="D761" s="64"/>
      <c r="E761" s="64"/>
      <c r="F761" s="64"/>
      <c r="G761" s="64"/>
      <c r="H761" s="64"/>
      <c r="I761" s="67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 ht="12.75" customHeight="1">
      <c r="A762" s="64"/>
      <c r="B762" s="64"/>
      <c r="C762" s="64"/>
      <c r="D762" s="64"/>
      <c r="E762" s="64"/>
      <c r="F762" s="64"/>
      <c r="G762" s="64"/>
      <c r="H762" s="64"/>
      <c r="I762" s="67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 ht="12.75" customHeight="1">
      <c r="A763" s="64"/>
      <c r="B763" s="64"/>
      <c r="C763" s="64"/>
      <c r="D763" s="64"/>
      <c r="E763" s="64"/>
      <c r="F763" s="64"/>
      <c r="G763" s="64"/>
      <c r="H763" s="64"/>
      <c r="I763" s="67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 ht="12.75" customHeight="1">
      <c r="A764" s="64"/>
      <c r="B764" s="64"/>
      <c r="C764" s="64"/>
      <c r="D764" s="64"/>
      <c r="E764" s="64"/>
      <c r="F764" s="64"/>
      <c r="G764" s="64"/>
      <c r="H764" s="64"/>
      <c r="I764" s="67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 ht="12.75" customHeight="1">
      <c r="A765" s="64"/>
      <c r="B765" s="64"/>
      <c r="C765" s="64"/>
      <c r="D765" s="64"/>
      <c r="E765" s="64"/>
      <c r="F765" s="64"/>
      <c r="G765" s="64"/>
      <c r="H765" s="64"/>
      <c r="I765" s="67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 ht="12.75" customHeight="1">
      <c r="A766" s="64"/>
      <c r="B766" s="64"/>
      <c r="C766" s="64"/>
      <c r="D766" s="64"/>
      <c r="E766" s="64"/>
      <c r="F766" s="64"/>
      <c r="G766" s="64"/>
      <c r="H766" s="64"/>
      <c r="I766" s="67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 ht="12.75" customHeight="1">
      <c r="A767" s="64"/>
      <c r="B767" s="64"/>
      <c r="C767" s="64"/>
      <c r="D767" s="64"/>
      <c r="E767" s="64"/>
      <c r="F767" s="64"/>
      <c r="G767" s="64"/>
      <c r="H767" s="64"/>
      <c r="I767" s="67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 ht="12.75" customHeight="1">
      <c r="A768" s="64"/>
      <c r="B768" s="64"/>
      <c r="C768" s="64"/>
      <c r="D768" s="64"/>
      <c r="E768" s="64"/>
      <c r="F768" s="64"/>
      <c r="G768" s="64"/>
      <c r="H768" s="64"/>
      <c r="I768" s="67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 ht="12.75" customHeight="1">
      <c r="A769" s="64"/>
      <c r="B769" s="64"/>
      <c r="C769" s="64"/>
      <c r="D769" s="64"/>
      <c r="E769" s="64"/>
      <c r="F769" s="64"/>
      <c r="G769" s="64"/>
      <c r="H769" s="64"/>
      <c r="I769" s="67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 ht="12.75" customHeight="1">
      <c r="A770" s="64"/>
      <c r="B770" s="64"/>
      <c r="C770" s="64"/>
      <c r="D770" s="64"/>
      <c r="E770" s="64"/>
      <c r="F770" s="64"/>
      <c r="G770" s="64"/>
      <c r="H770" s="64"/>
      <c r="I770" s="67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 ht="12.75" customHeight="1">
      <c r="A771" s="64"/>
      <c r="B771" s="64"/>
      <c r="C771" s="64"/>
      <c r="D771" s="64"/>
      <c r="E771" s="64"/>
      <c r="F771" s="64"/>
      <c r="G771" s="64"/>
      <c r="H771" s="64"/>
      <c r="I771" s="67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 ht="12.75" customHeight="1">
      <c r="A772" s="64"/>
      <c r="B772" s="64"/>
      <c r="C772" s="64"/>
      <c r="D772" s="64"/>
      <c r="E772" s="64"/>
      <c r="F772" s="64"/>
      <c r="G772" s="64"/>
      <c r="H772" s="64"/>
      <c r="I772" s="67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 ht="12.75" customHeight="1">
      <c r="A773" s="64"/>
      <c r="B773" s="64"/>
      <c r="C773" s="64"/>
      <c r="D773" s="64"/>
      <c r="E773" s="64"/>
      <c r="F773" s="64"/>
      <c r="G773" s="64"/>
      <c r="H773" s="64"/>
      <c r="I773" s="67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 ht="12.75" customHeight="1">
      <c r="A774" s="64"/>
      <c r="B774" s="64"/>
      <c r="C774" s="64"/>
      <c r="D774" s="64"/>
      <c r="E774" s="64"/>
      <c r="F774" s="64"/>
      <c r="G774" s="64"/>
      <c r="H774" s="64"/>
      <c r="I774" s="67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 ht="12.75" customHeight="1">
      <c r="A775" s="64"/>
      <c r="B775" s="64"/>
      <c r="C775" s="64"/>
      <c r="D775" s="64"/>
      <c r="E775" s="64"/>
      <c r="F775" s="64"/>
      <c r="G775" s="64"/>
      <c r="H775" s="64"/>
      <c r="I775" s="67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 ht="12.75" customHeight="1">
      <c r="A776" s="64"/>
      <c r="B776" s="64"/>
      <c r="C776" s="64"/>
      <c r="D776" s="64"/>
      <c r="E776" s="64"/>
      <c r="F776" s="64"/>
      <c r="G776" s="64"/>
      <c r="H776" s="64"/>
      <c r="I776" s="67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 ht="12.75" customHeight="1">
      <c r="A777" s="64"/>
      <c r="B777" s="64"/>
      <c r="C777" s="64"/>
      <c r="D777" s="64"/>
      <c r="E777" s="64"/>
      <c r="F777" s="64"/>
      <c r="G777" s="64"/>
      <c r="H777" s="64"/>
      <c r="I777" s="67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 ht="12.75" customHeight="1">
      <c r="A778" s="64"/>
      <c r="B778" s="64"/>
      <c r="C778" s="64"/>
      <c r="D778" s="64"/>
      <c r="E778" s="64"/>
      <c r="F778" s="64"/>
      <c r="G778" s="64"/>
      <c r="H778" s="64"/>
      <c r="I778" s="67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 ht="12.75" customHeight="1">
      <c r="A779" s="64"/>
      <c r="B779" s="64"/>
      <c r="C779" s="64"/>
      <c r="D779" s="64"/>
      <c r="E779" s="64"/>
      <c r="F779" s="64"/>
      <c r="G779" s="64"/>
      <c r="H779" s="64"/>
      <c r="I779" s="67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 ht="12.75" customHeight="1">
      <c r="A780" s="64"/>
      <c r="B780" s="64"/>
      <c r="C780" s="64"/>
      <c r="D780" s="64"/>
      <c r="E780" s="64"/>
      <c r="F780" s="64"/>
      <c r="G780" s="64"/>
      <c r="H780" s="64"/>
      <c r="I780" s="67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 ht="12.75" customHeight="1">
      <c r="A781" s="64"/>
      <c r="B781" s="64"/>
      <c r="C781" s="64"/>
      <c r="D781" s="64"/>
      <c r="E781" s="64"/>
      <c r="F781" s="64"/>
      <c r="G781" s="64"/>
      <c r="H781" s="64"/>
      <c r="I781" s="67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 ht="12.75" customHeight="1">
      <c r="A782" s="64"/>
      <c r="B782" s="64"/>
      <c r="C782" s="64"/>
      <c r="D782" s="64"/>
      <c r="E782" s="64"/>
      <c r="F782" s="64"/>
      <c r="G782" s="64"/>
      <c r="H782" s="64"/>
      <c r="I782" s="67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 ht="12.75" customHeight="1">
      <c r="A783" s="64"/>
      <c r="B783" s="64"/>
      <c r="C783" s="64"/>
      <c r="D783" s="64"/>
      <c r="E783" s="64"/>
      <c r="F783" s="64"/>
      <c r="G783" s="64"/>
      <c r="H783" s="64"/>
      <c r="I783" s="67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 ht="12.75" customHeight="1">
      <c r="A784" s="64"/>
      <c r="B784" s="64"/>
      <c r="C784" s="64"/>
      <c r="D784" s="64"/>
      <c r="E784" s="64"/>
      <c r="F784" s="64"/>
      <c r="G784" s="64"/>
      <c r="H784" s="64"/>
      <c r="I784" s="67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 ht="12.75" customHeight="1">
      <c r="A785" s="64"/>
      <c r="B785" s="64"/>
      <c r="C785" s="64"/>
      <c r="D785" s="64"/>
      <c r="E785" s="64"/>
      <c r="F785" s="64"/>
      <c r="G785" s="64"/>
      <c r="H785" s="64"/>
      <c r="I785" s="67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 ht="12.75" customHeight="1">
      <c r="A786" s="64"/>
      <c r="B786" s="64"/>
      <c r="C786" s="64"/>
      <c r="D786" s="64"/>
      <c r="E786" s="64"/>
      <c r="F786" s="64"/>
      <c r="G786" s="64"/>
      <c r="H786" s="64"/>
      <c r="I786" s="67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 ht="12.75" customHeight="1">
      <c r="A787" s="64"/>
      <c r="B787" s="64"/>
      <c r="C787" s="64"/>
      <c r="D787" s="64"/>
      <c r="E787" s="64"/>
      <c r="F787" s="64"/>
      <c r="G787" s="64"/>
      <c r="H787" s="64"/>
      <c r="I787" s="67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 ht="12.75" customHeight="1">
      <c r="A788" s="64"/>
      <c r="B788" s="64"/>
      <c r="C788" s="64"/>
      <c r="D788" s="64"/>
      <c r="E788" s="64"/>
      <c r="F788" s="64"/>
      <c r="G788" s="64"/>
      <c r="H788" s="64"/>
      <c r="I788" s="67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 ht="12.75" customHeight="1">
      <c r="A789" s="64"/>
      <c r="B789" s="64"/>
      <c r="C789" s="64"/>
      <c r="D789" s="64"/>
      <c r="E789" s="64"/>
      <c r="F789" s="64"/>
      <c r="G789" s="64"/>
      <c r="H789" s="64"/>
      <c r="I789" s="67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 ht="12.75" customHeight="1">
      <c r="A790" s="64"/>
      <c r="B790" s="64"/>
      <c r="C790" s="64"/>
      <c r="D790" s="64"/>
      <c r="E790" s="64"/>
      <c r="F790" s="64"/>
      <c r="G790" s="64"/>
      <c r="H790" s="64"/>
      <c r="I790" s="67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 ht="12.75" customHeight="1">
      <c r="A791" s="64"/>
      <c r="B791" s="64"/>
      <c r="C791" s="64"/>
      <c r="D791" s="64"/>
      <c r="E791" s="64"/>
      <c r="F791" s="64"/>
      <c r="G791" s="64"/>
      <c r="H791" s="64"/>
      <c r="I791" s="67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 ht="12.75" customHeight="1">
      <c r="A792" s="64"/>
      <c r="B792" s="64"/>
      <c r="C792" s="64"/>
      <c r="D792" s="64"/>
      <c r="E792" s="64"/>
      <c r="F792" s="64"/>
      <c r="G792" s="64"/>
      <c r="H792" s="64"/>
      <c r="I792" s="67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 ht="12.75" customHeight="1">
      <c r="A793" s="64"/>
      <c r="B793" s="64"/>
      <c r="C793" s="64"/>
      <c r="D793" s="64"/>
      <c r="E793" s="64"/>
      <c r="F793" s="64"/>
      <c r="G793" s="64"/>
      <c r="H793" s="64"/>
      <c r="I793" s="67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 ht="12.75" customHeight="1">
      <c r="A794" s="64"/>
      <c r="B794" s="64"/>
      <c r="C794" s="64"/>
      <c r="D794" s="64"/>
      <c r="E794" s="64"/>
      <c r="F794" s="64"/>
      <c r="G794" s="64"/>
      <c r="H794" s="64"/>
      <c r="I794" s="67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 ht="12.75" customHeight="1">
      <c r="A795" s="64"/>
      <c r="B795" s="64"/>
      <c r="C795" s="64"/>
      <c r="D795" s="64"/>
      <c r="E795" s="64"/>
      <c r="F795" s="64"/>
      <c r="G795" s="64"/>
      <c r="H795" s="64"/>
      <c r="I795" s="67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 ht="12.75" customHeight="1">
      <c r="A796" s="64"/>
      <c r="B796" s="64"/>
      <c r="C796" s="64"/>
      <c r="D796" s="64"/>
      <c r="E796" s="64"/>
      <c r="F796" s="64"/>
      <c r="G796" s="64"/>
      <c r="H796" s="64"/>
      <c r="I796" s="67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 ht="12.75" customHeight="1">
      <c r="A797" s="64"/>
      <c r="B797" s="64"/>
      <c r="C797" s="64"/>
      <c r="D797" s="64"/>
      <c r="E797" s="64"/>
      <c r="F797" s="64"/>
      <c r="G797" s="64"/>
      <c r="H797" s="64"/>
      <c r="I797" s="67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 ht="12.75" customHeight="1">
      <c r="A798" s="64"/>
      <c r="B798" s="64"/>
      <c r="C798" s="64"/>
      <c r="D798" s="64"/>
      <c r="E798" s="64"/>
      <c r="F798" s="64"/>
      <c r="G798" s="64"/>
      <c r="H798" s="64"/>
      <c r="I798" s="67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 ht="12.75" customHeight="1">
      <c r="A799" s="64"/>
      <c r="B799" s="64"/>
      <c r="C799" s="64"/>
      <c r="D799" s="64"/>
      <c r="E799" s="64"/>
      <c r="F799" s="64"/>
      <c r="G799" s="64"/>
      <c r="H799" s="64"/>
      <c r="I799" s="67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 ht="12.75" customHeight="1">
      <c r="A800" s="64"/>
      <c r="B800" s="64"/>
      <c r="C800" s="64"/>
      <c r="D800" s="64"/>
      <c r="E800" s="64"/>
      <c r="F800" s="64"/>
      <c r="G800" s="64"/>
      <c r="H800" s="64"/>
      <c r="I800" s="67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 ht="12.75" customHeight="1">
      <c r="A801" s="64"/>
      <c r="B801" s="64"/>
      <c r="C801" s="64"/>
      <c r="D801" s="64"/>
      <c r="E801" s="64"/>
      <c r="F801" s="64"/>
      <c r="G801" s="64"/>
      <c r="H801" s="64"/>
      <c r="I801" s="67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 ht="12.75" customHeight="1">
      <c r="A802" s="64"/>
      <c r="B802" s="64"/>
      <c r="C802" s="64"/>
      <c r="D802" s="64"/>
      <c r="E802" s="64"/>
      <c r="F802" s="64"/>
      <c r="G802" s="64"/>
      <c r="H802" s="64"/>
      <c r="I802" s="67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 ht="12.75" customHeight="1">
      <c r="A803" s="64"/>
      <c r="B803" s="64"/>
      <c r="C803" s="64"/>
      <c r="D803" s="64"/>
      <c r="E803" s="64"/>
      <c r="F803" s="64"/>
      <c r="G803" s="64"/>
      <c r="H803" s="64"/>
      <c r="I803" s="67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 ht="12.75" customHeight="1">
      <c r="A804" s="64"/>
      <c r="B804" s="64"/>
      <c r="C804" s="64"/>
      <c r="D804" s="64"/>
      <c r="E804" s="64"/>
      <c r="F804" s="64"/>
      <c r="G804" s="64"/>
      <c r="H804" s="64"/>
      <c r="I804" s="67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 ht="12.75" customHeight="1">
      <c r="A805" s="64"/>
      <c r="B805" s="64"/>
      <c r="C805" s="64"/>
      <c r="D805" s="64"/>
      <c r="E805" s="64"/>
      <c r="F805" s="64"/>
      <c r="G805" s="64"/>
      <c r="H805" s="64"/>
      <c r="I805" s="67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 ht="12.75" customHeight="1">
      <c r="A806" s="64"/>
      <c r="B806" s="64"/>
      <c r="C806" s="64"/>
      <c r="D806" s="64"/>
      <c r="E806" s="64"/>
      <c r="F806" s="64"/>
      <c r="G806" s="64"/>
      <c r="H806" s="64"/>
      <c r="I806" s="67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 ht="12.75" customHeight="1">
      <c r="A807" s="64"/>
      <c r="B807" s="64"/>
      <c r="C807" s="64"/>
      <c r="D807" s="64"/>
      <c r="E807" s="64"/>
      <c r="F807" s="64"/>
      <c r="G807" s="64"/>
      <c r="H807" s="64"/>
      <c r="I807" s="67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 ht="12.75" customHeight="1">
      <c r="A808" s="64"/>
      <c r="B808" s="64"/>
      <c r="C808" s="64"/>
      <c r="D808" s="64"/>
      <c r="E808" s="64"/>
      <c r="F808" s="64"/>
      <c r="G808" s="64"/>
      <c r="H808" s="64"/>
      <c r="I808" s="67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 ht="12.75" customHeight="1">
      <c r="A809" s="64"/>
      <c r="B809" s="64"/>
      <c r="C809" s="64"/>
      <c r="D809" s="64"/>
      <c r="E809" s="64"/>
      <c r="F809" s="64"/>
      <c r="G809" s="64"/>
      <c r="H809" s="64"/>
      <c r="I809" s="67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 ht="12.75" customHeight="1">
      <c r="A810" s="64"/>
      <c r="B810" s="64"/>
      <c r="C810" s="64"/>
      <c r="D810" s="64"/>
      <c r="E810" s="64"/>
      <c r="F810" s="64"/>
      <c r="G810" s="64"/>
      <c r="H810" s="64"/>
      <c r="I810" s="67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 ht="12.75" customHeight="1">
      <c r="A811" s="64"/>
      <c r="B811" s="64"/>
      <c r="C811" s="64"/>
      <c r="D811" s="64"/>
      <c r="E811" s="64"/>
      <c r="F811" s="64"/>
      <c r="G811" s="64"/>
      <c r="H811" s="64"/>
      <c r="I811" s="67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 ht="12.75" customHeight="1">
      <c r="A812" s="64"/>
      <c r="B812" s="64"/>
      <c r="C812" s="64"/>
      <c r="D812" s="64"/>
      <c r="E812" s="64"/>
      <c r="F812" s="64"/>
      <c r="G812" s="64"/>
      <c r="H812" s="64"/>
      <c r="I812" s="67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 ht="12.75" customHeight="1">
      <c r="A813" s="64"/>
      <c r="B813" s="64"/>
      <c r="C813" s="64"/>
      <c r="D813" s="64"/>
      <c r="E813" s="64"/>
      <c r="F813" s="64"/>
      <c r="G813" s="64"/>
      <c r="H813" s="64"/>
      <c r="I813" s="67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 ht="12.75" customHeight="1">
      <c r="A814" s="64"/>
      <c r="B814" s="64"/>
      <c r="C814" s="64"/>
      <c r="D814" s="64"/>
      <c r="E814" s="64"/>
      <c r="F814" s="64"/>
      <c r="G814" s="64"/>
      <c r="H814" s="64"/>
      <c r="I814" s="67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 ht="12.75" customHeight="1">
      <c r="A815" s="64"/>
      <c r="B815" s="64"/>
      <c r="C815" s="64"/>
      <c r="D815" s="64"/>
      <c r="E815" s="64"/>
      <c r="F815" s="64"/>
      <c r="G815" s="64"/>
      <c r="H815" s="64"/>
      <c r="I815" s="67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 ht="12.75" customHeight="1">
      <c r="A816" s="64"/>
      <c r="B816" s="64"/>
      <c r="C816" s="64"/>
      <c r="D816" s="64"/>
      <c r="E816" s="64"/>
      <c r="F816" s="64"/>
      <c r="G816" s="64"/>
      <c r="H816" s="64"/>
      <c r="I816" s="67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 ht="12.75" customHeight="1">
      <c r="A817" s="64"/>
      <c r="B817" s="64"/>
      <c r="C817" s="64"/>
      <c r="D817" s="64"/>
      <c r="E817" s="64"/>
      <c r="F817" s="64"/>
      <c r="G817" s="64"/>
      <c r="H817" s="64"/>
      <c r="I817" s="67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 ht="12.75" customHeight="1">
      <c r="A818" s="64"/>
      <c r="B818" s="64"/>
      <c r="C818" s="64"/>
      <c r="D818" s="64"/>
      <c r="E818" s="64"/>
      <c r="F818" s="64"/>
      <c r="G818" s="64"/>
      <c r="H818" s="64"/>
      <c r="I818" s="67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 ht="12.75" customHeight="1">
      <c r="A819" s="64"/>
      <c r="B819" s="64"/>
      <c r="C819" s="64"/>
      <c r="D819" s="64"/>
      <c r="E819" s="64"/>
      <c r="F819" s="64"/>
      <c r="G819" s="64"/>
      <c r="H819" s="64"/>
      <c r="I819" s="67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 ht="12.75" customHeight="1">
      <c r="A820" s="64"/>
      <c r="B820" s="64"/>
      <c r="C820" s="64"/>
      <c r="D820" s="64"/>
      <c r="E820" s="64"/>
      <c r="F820" s="64"/>
      <c r="G820" s="64"/>
      <c r="H820" s="64"/>
      <c r="I820" s="67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 ht="12.75" customHeight="1">
      <c r="A821" s="64"/>
      <c r="B821" s="64"/>
      <c r="C821" s="64"/>
      <c r="D821" s="64"/>
      <c r="E821" s="64"/>
      <c r="F821" s="64"/>
      <c r="G821" s="64"/>
      <c r="H821" s="64"/>
      <c r="I821" s="67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 ht="12.75" customHeight="1">
      <c r="A822" s="64"/>
      <c r="B822" s="64"/>
      <c r="C822" s="64"/>
      <c r="D822" s="64"/>
      <c r="E822" s="64"/>
      <c r="F822" s="64"/>
      <c r="G822" s="64"/>
      <c r="H822" s="64"/>
      <c r="I822" s="67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 ht="12.75" customHeight="1">
      <c r="A823" s="64"/>
      <c r="B823" s="64"/>
      <c r="C823" s="64"/>
      <c r="D823" s="64"/>
      <c r="E823" s="64"/>
      <c r="F823" s="64"/>
      <c r="G823" s="64"/>
      <c r="H823" s="64"/>
      <c r="I823" s="67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 ht="12.75" customHeight="1">
      <c r="A824" s="64"/>
      <c r="B824" s="64"/>
      <c r="C824" s="64"/>
      <c r="D824" s="64"/>
      <c r="E824" s="64"/>
      <c r="F824" s="64"/>
      <c r="G824" s="64"/>
      <c r="H824" s="64"/>
      <c r="I824" s="67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 ht="12.75" customHeight="1">
      <c r="A825" s="64"/>
      <c r="B825" s="64"/>
      <c r="C825" s="64"/>
      <c r="D825" s="64"/>
      <c r="E825" s="64"/>
      <c r="F825" s="64"/>
      <c r="G825" s="64"/>
      <c r="H825" s="64"/>
      <c r="I825" s="67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 ht="12.75" customHeight="1">
      <c r="A826" s="64"/>
      <c r="B826" s="64"/>
      <c r="C826" s="64"/>
      <c r="D826" s="64"/>
      <c r="E826" s="64"/>
      <c r="F826" s="64"/>
      <c r="G826" s="64"/>
      <c r="H826" s="64"/>
      <c r="I826" s="67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 ht="12.75" customHeight="1">
      <c r="A827" s="64"/>
      <c r="B827" s="64"/>
      <c r="C827" s="64"/>
      <c r="D827" s="64"/>
      <c r="E827" s="64"/>
      <c r="F827" s="64"/>
      <c r="G827" s="64"/>
      <c r="H827" s="64"/>
      <c r="I827" s="67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 ht="12.75" customHeight="1">
      <c r="A828" s="64"/>
      <c r="B828" s="64"/>
      <c r="C828" s="64"/>
      <c r="D828" s="64"/>
      <c r="E828" s="64"/>
      <c r="F828" s="64"/>
      <c r="G828" s="64"/>
      <c r="H828" s="64"/>
      <c r="I828" s="67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 ht="12.75" customHeight="1">
      <c r="A829" s="64"/>
      <c r="B829" s="64"/>
      <c r="C829" s="64"/>
      <c r="D829" s="64"/>
      <c r="E829" s="64"/>
      <c r="F829" s="64"/>
      <c r="G829" s="64"/>
      <c r="H829" s="64"/>
      <c r="I829" s="67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 ht="12.75" customHeight="1">
      <c r="A830" s="64"/>
      <c r="B830" s="64"/>
      <c r="C830" s="64"/>
      <c r="D830" s="64"/>
      <c r="E830" s="64"/>
      <c r="F830" s="64"/>
      <c r="G830" s="64"/>
      <c r="H830" s="64"/>
      <c r="I830" s="67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 ht="12.75" customHeight="1">
      <c r="A831" s="64"/>
      <c r="B831" s="64"/>
      <c r="C831" s="64"/>
      <c r="D831" s="64"/>
      <c r="E831" s="64"/>
      <c r="F831" s="64"/>
      <c r="G831" s="64"/>
      <c r="H831" s="64"/>
      <c r="I831" s="67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 ht="12.75" customHeight="1">
      <c r="A832" s="64"/>
      <c r="B832" s="64"/>
      <c r="C832" s="64"/>
      <c r="D832" s="64"/>
      <c r="E832" s="64"/>
      <c r="F832" s="64"/>
      <c r="G832" s="64"/>
      <c r="H832" s="64"/>
      <c r="I832" s="67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 ht="12.75" customHeight="1">
      <c r="A833" s="64"/>
      <c r="B833" s="64"/>
      <c r="C833" s="64"/>
      <c r="D833" s="64"/>
      <c r="E833" s="64"/>
      <c r="F833" s="64"/>
      <c r="G833" s="64"/>
      <c r="H833" s="64"/>
      <c r="I833" s="67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 ht="12.75" customHeight="1">
      <c r="A834" s="64"/>
      <c r="B834" s="64"/>
      <c r="C834" s="64"/>
      <c r="D834" s="64"/>
      <c r="E834" s="64"/>
      <c r="F834" s="64"/>
      <c r="G834" s="64"/>
      <c r="H834" s="64"/>
      <c r="I834" s="67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 ht="12.75" customHeight="1">
      <c r="A835" s="64"/>
      <c r="B835" s="64"/>
      <c r="C835" s="64"/>
      <c r="D835" s="64"/>
      <c r="E835" s="64"/>
      <c r="F835" s="64"/>
      <c r="G835" s="64"/>
      <c r="H835" s="64"/>
      <c r="I835" s="67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 ht="12.75" customHeight="1">
      <c r="A836" s="64"/>
      <c r="B836" s="64"/>
      <c r="C836" s="64"/>
      <c r="D836" s="64"/>
      <c r="E836" s="64"/>
      <c r="F836" s="64"/>
      <c r="G836" s="64"/>
      <c r="H836" s="64"/>
      <c r="I836" s="67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 ht="12.75" customHeight="1">
      <c r="A837" s="64"/>
      <c r="B837" s="64"/>
      <c r="C837" s="64"/>
      <c r="D837" s="64"/>
      <c r="E837" s="64"/>
      <c r="F837" s="64"/>
      <c r="G837" s="64"/>
      <c r="H837" s="64"/>
      <c r="I837" s="67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 ht="12.75" customHeight="1">
      <c r="A838" s="64"/>
      <c r="B838" s="64"/>
      <c r="C838" s="64"/>
      <c r="D838" s="64"/>
      <c r="E838" s="64"/>
      <c r="F838" s="64"/>
      <c r="G838" s="64"/>
      <c r="H838" s="64"/>
      <c r="I838" s="67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 ht="12.75" customHeight="1">
      <c r="A839" s="64"/>
      <c r="B839" s="64"/>
      <c r="C839" s="64"/>
      <c r="D839" s="64"/>
      <c r="E839" s="64"/>
      <c r="F839" s="64"/>
      <c r="G839" s="64"/>
      <c r="H839" s="64"/>
      <c r="I839" s="67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 ht="12.75" customHeight="1">
      <c r="A840" s="64"/>
      <c r="B840" s="64"/>
      <c r="C840" s="64"/>
      <c r="D840" s="64"/>
      <c r="E840" s="64"/>
      <c r="F840" s="64"/>
      <c r="G840" s="64"/>
      <c r="H840" s="64"/>
      <c r="I840" s="67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 ht="12.75" customHeight="1">
      <c r="A841" s="64"/>
      <c r="B841" s="64"/>
      <c r="C841" s="64"/>
      <c r="D841" s="64"/>
      <c r="E841" s="64"/>
      <c r="F841" s="64"/>
      <c r="G841" s="64"/>
      <c r="H841" s="64"/>
      <c r="I841" s="67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 ht="12.75" customHeight="1">
      <c r="A842" s="64"/>
      <c r="B842" s="64"/>
      <c r="C842" s="64"/>
      <c r="D842" s="64"/>
      <c r="E842" s="64"/>
      <c r="F842" s="64"/>
      <c r="G842" s="64"/>
      <c r="H842" s="64"/>
      <c r="I842" s="67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 ht="12.75" customHeight="1">
      <c r="A843" s="64"/>
      <c r="B843" s="64"/>
      <c r="C843" s="64"/>
      <c r="D843" s="64"/>
      <c r="E843" s="64"/>
      <c r="F843" s="64"/>
      <c r="G843" s="64"/>
      <c r="H843" s="64"/>
      <c r="I843" s="67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 ht="12.75" customHeight="1">
      <c r="A844" s="64"/>
      <c r="B844" s="64"/>
      <c r="C844" s="64"/>
      <c r="D844" s="64"/>
      <c r="E844" s="64"/>
      <c r="F844" s="64"/>
      <c r="G844" s="64"/>
      <c r="H844" s="64"/>
      <c r="I844" s="67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 ht="12.75" customHeight="1">
      <c r="A845" s="64"/>
      <c r="B845" s="64"/>
      <c r="C845" s="64"/>
      <c r="D845" s="64"/>
      <c r="E845" s="64"/>
      <c r="F845" s="64"/>
      <c r="G845" s="64"/>
      <c r="H845" s="64"/>
      <c r="I845" s="67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 ht="12.75" customHeight="1">
      <c r="A846" s="64"/>
      <c r="B846" s="64"/>
      <c r="C846" s="64"/>
      <c r="D846" s="64"/>
      <c r="E846" s="64"/>
      <c r="F846" s="64"/>
      <c r="G846" s="64"/>
      <c r="H846" s="64"/>
      <c r="I846" s="67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 ht="12.75" customHeight="1">
      <c r="A847" s="64"/>
      <c r="B847" s="64"/>
      <c r="C847" s="64"/>
      <c r="D847" s="64"/>
      <c r="E847" s="64"/>
      <c r="F847" s="64"/>
      <c r="G847" s="64"/>
      <c r="H847" s="64"/>
      <c r="I847" s="67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 ht="12.75" customHeight="1">
      <c r="A848" s="64"/>
      <c r="B848" s="64"/>
      <c r="C848" s="64"/>
      <c r="D848" s="64"/>
      <c r="E848" s="64"/>
      <c r="F848" s="64"/>
      <c r="G848" s="64"/>
      <c r="H848" s="64"/>
      <c r="I848" s="67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 ht="12.75" customHeight="1">
      <c r="A849" s="64"/>
      <c r="B849" s="64"/>
      <c r="C849" s="64"/>
      <c r="D849" s="64"/>
      <c r="E849" s="64"/>
      <c r="F849" s="64"/>
      <c r="G849" s="64"/>
      <c r="H849" s="64"/>
      <c r="I849" s="67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 ht="12.75" customHeight="1">
      <c r="A850" s="64"/>
      <c r="B850" s="64"/>
      <c r="C850" s="64"/>
      <c r="D850" s="64"/>
      <c r="E850" s="64"/>
      <c r="F850" s="64"/>
      <c r="G850" s="64"/>
      <c r="H850" s="64"/>
      <c r="I850" s="67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 ht="12.75" customHeight="1">
      <c r="A851" s="64"/>
      <c r="B851" s="64"/>
      <c r="C851" s="64"/>
      <c r="D851" s="64"/>
      <c r="E851" s="64"/>
      <c r="F851" s="64"/>
      <c r="G851" s="64"/>
      <c r="H851" s="64"/>
      <c r="I851" s="67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 ht="12.75" customHeight="1">
      <c r="A852" s="64"/>
      <c r="B852" s="64"/>
      <c r="C852" s="64"/>
      <c r="D852" s="64"/>
      <c r="E852" s="64"/>
      <c r="F852" s="64"/>
      <c r="G852" s="64"/>
      <c r="H852" s="64"/>
      <c r="I852" s="67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 ht="12.75" customHeight="1">
      <c r="A853" s="64"/>
      <c r="B853" s="64"/>
      <c r="C853" s="64"/>
      <c r="D853" s="64"/>
      <c r="E853" s="64"/>
      <c r="F853" s="64"/>
      <c r="G853" s="64"/>
      <c r="H853" s="64"/>
      <c r="I853" s="67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 ht="12.75" customHeight="1">
      <c r="A854" s="64"/>
      <c r="B854" s="64"/>
      <c r="C854" s="64"/>
      <c r="D854" s="64"/>
      <c r="E854" s="64"/>
      <c r="F854" s="64"/>
      <c r="G854" s="64"/>
      <c r="H854" s="64"/>
      <c r="I854" s="67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 ht="12.75" customHeight="1">
      <c r="A855" s="64"/>
      <c r="B855" s="64"/>
      <c r="C855" s="64"/>
      <c r="D855" s="64"/>
      <c r="E855" s="64"/>
      <c r="F855" s="64"/>
      <c r="G855" s="64"/>
      <c r="H855" s="64"/>
      <c r="I855" s="67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 ht="12.75" customHeight="1">
      <c r="A856" s="64"/>
      <c r="B856" s="64"/>
      <c r="C856" s="64"/>
      <c r="D856" s="64"/>
      <c r="E856" s="64"/>
      <c r="F856" s="64"/>
      <c r="G856" s="64"/>
      <c r="H856" s="64"/>
      <c r="I856" s="67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 ht="12.75" customHeight="1">
      <c r="A857" s="64"/>
      <c r="B857" s="64"/>
      <c r="C857" s="64"/>
      <c r="D857" s="64"/>
      <c r="E857" s="64"/>
      <c r="F857" s="64"/>
      <c r="G857" s="64"/>
      <c r="H857" s="64"/>
      <c r="I857" s="67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 ht="12.75" customHeight="1">
      <c r="A858" s="64"/>
      <c r="B858" s="64"/>
      <c r="C858" s="64"/>
      <c r="D858" s="64"/>
      <c r="E858" s="64"/>
      <c r="F858" s="64"/>
      <c r="G858" s="64"/>
      <c r="H858" s="64"/>
      <c r="I858" s="67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 ht="12.75" customHeight="1">
      <c r="A859" s="64"/>
      <c r="B859" s="64"/>
      <c r="C859" s="64"/>
      <c r="D859" s="64"/>
      <c r="E859" s="64"/>
      <c r="F859" s="64"/>
      <c r="G859" s="64"/>
      <c r="H859" s="64"/>
      <c r="I859" s="67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 ht="12.75" customHeight="1">
      <c r="A860" s="64"/>
      <c r="B860" s="64"/>
      <c r="C860" s="64"/>
      <c r="D860" s="64"/>
      <c r="E860" s="64"/>
      <c r="F860" s="64"/>
      <c r="G860" s="64"/>
      <c r="H860" s="64"/>
      <c r="I860" s="67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 ht="12.75" customHeight="1">
      <c r="A861" s="64"/>
      <c r="B861" s="64"/>
      <c r="C861" s="64"/>
      <c r="D861" s="64"/>
      <c r="E861" s="64"/>
      <c r="F861" s="64"/>
      <c r="G861" s="64"/>
      <c r="H861" s="64"/>
      <c r="I861" s="67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 ht="12.75" customHeight="1">
      <c r="A862" s="64"/>
      <c r="B862" s="64"/>
      <c r="C862" s="64"/>
      <c r="D862" s="64"/>
      <c r="E862" s="64"/>
      <c r="F862" s="64"/>
      <c r="G862" s="64"/>
      <c r="H862" s="64"/>
      <c r="I862" s="67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 ht="12.75" customHeight="1">
      <c r="A863" s="64"/>
      <c r="B863" s="64"/>
      <c r="C863" s="64"/>
      <c r="D863" s="64"/>
      <c r="E863" s="64"/>
      <c r="F863" s="64"/>
      <c r="G863" s="64"/>
      <c r="H863" s="64"/>
      <c r="I863" s="67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 ht="12.75" customHeight="1">
      <c r="A864" s="64"/>
      <c r="B864" s="64"/>
      <c r="C864" s="64"/>
      <c r="D864" s="64"/>
      <c r="E864" s="64"/>
      <c r="F864" s="64"/>
      <c r="G864" s="64"/>
      <c r="H864" s="64"/>
      <c r="I864" s="67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 ht="12.75" customHeight="1">
      <c r="A865" s="64"/>
      <c r="B865" s="64"/>
      <c r="C865" s="64"/>
      <c r="D865" s="64"/>
      <c r="E865" s="64"/>
      <c r="F865" s="64"/>
      <c r="G865" s="64"/>
      <c r="H865" s="64"/>
      <c r="I865" s="67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 ht="12.75" customHeight="1">
      <c r="A866" s="64"/>
      <c r="B866" s="64"/>
      <c r="C866" s="64"/>
      <c r="D866" s="64"/>
      <c r="E866" s="64"/>
      <c r="F866" s="64"/>
      <c r="G866" s="64"/>
      <c r="H866" s="64"/>
      <c r="I866" s="67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 ht="12.75" customHeight="1">
      <c r="A867" s="64"/>
      <c r="B867" s="64"/>
      <c r="C867" s="64"/>
      <c r="D867" s="64"/>
      <c r="E867" s="64"/>
      <c r="F867" s="64"/>
      <c r="G867" s="64"/>
      <c r="H867" s="64"/>
      <c r="I867" s="67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 ht="12.75" customHeight="1">
      <c r="A868" s="64"/>
      <c r="B868" s="64"/>
      <c r="C868" s="64"/>
      <c r="D868" s="64"/>
      <c r="E868" s="64"/>
      <c r="F868" s="64"/>
      <c r="G868" s="64"/>
      <c r="H868" s="64"/>
      <c r="I868" s="67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 ht="12.75" customHeight="1">
      <c r="A869" s="64"/>
      <c r="B869" s="64"/>
      <c r="C869" s="64"/>
      <c r="D869" s="64"/>
      <c r="E869" s="64"/>
      <c r="F869" s="64"/>
      <c r="G869" s="64"/>
      <c r="H869" s="64"/>
      <c r="I869" s="67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 ht="12.75" customHeight="1">
      <c r="A870" s="64"/>
      <c r="B870" s="64"/>
      <c r="C870" s="64"/>
      <c r="D870" s="64"/>
      <c r="E870" s="64"/>
      <c r="F870" s="64"/>
      <c r="G870" s="64"/>
      <c r="H870" s="64"/>
      <c r="I870" s="67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 ht="12.75" customHeight="1">
      <c r="A871" s="64"/>
      <c r="B871" s="64"/>
      <c r="C871" s="64"/>
      <c r="D871" s="64"/>
      <c r="E871" s="64"/>
      <c r="F871" s="64"/>
      <c r="G871" s="64"/>
      <c r="H871" s="64"/>
      <c r="I871" s="67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 ht="12.75" customHeight="1">
      <c r="A872" s="64"/>
      <c r="B872" s="64"/>
      <c r="C872" s="64"/>
      <c r="D872" s="64"/>
      <c r="E872" s="64"/>
      <c r="F872" s="64"/>
      <c r="G872" s="64"/>
      <c r="H872" s="64"/>
      <c r="I872" s="67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 ht="12.75" customHeight="1">
      <c r="A873" s="64"/>
      <c r="B873" s="64"/>
      <c r="C873" s="64"/>
      <c r="D873" s="64"/>
      <c r="E873" s="64"/>
      <c r="F873" s="64"/>
      <c r="G873" s="64"/>
      <c r="H873" s="64"/>
      <c r="I873" s="67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 ht="12.75" customHeight="1">
      <c r="A874" s="64"/>
      <c r="B874" s="64"/>
      <c r="C874" s="64"/>
      <c r="D874" s="64"/>
      <c r="E874" s="64"/>
      <c r="F874" s="64"/>
      <c r="G874" s="64"/>
      <c r="H874" s="64"/>
      <c r="I874" s="67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 ht="12.75" customHeight="1">
      <c r="A875" s="64"/>
      <c r="B875" s="64"/>
      <c r="C875" s="64"/>
      <c r="D875" s="64"/>
      <c r="E875" s="64"/>
      <c r="F875" s="64"/>
      <c r="G875" s="64"/>
      <c r="H875" s="64"/>
      <c r="I875" s="67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 ht="12.75" customHeight="1">
      <c r="A876" s="64"/>
      <c r="B876" s="64"/>
      <c r="C876" s="64"/>
      <c r="D876" s="64"/>
      <c r="E876" s="64"/>
      <c r="F876" s="64"/>
      <c r="G876" s="64"/>
      <c r="H876" s="64"/>
      <c r="I876" s="67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 ht="12.75" customHeight="1">
      <c r="A877" s="64"/>
      <c r="B877" s="64"/>
      <c r="C877" s="64"/>
      <c r="D877" s="64"/>
      <c r="E877" s="64"/>
      <c r="F877" s="64"/>
      <c r="G877" s="64"/>
      <c r="H877" s="64"/>
      <c r="I877" s="67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 ht="12.75" customHeight="1">
      <c r="A878" s="64"/>
      <c r="B878" s="64"/>
      <c r="C878" s="64"/>
      <c r="D878" s="64"/>
      <c r="E878" s="64"/>
      <c r="F878" s="64"/>
      <c r="G878" s="64"/>
      <c r="H878" s="64"/>
      <c r="I878" s="67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 ht="12.75" customHeight="1">
      <c r="A879" s="64"/>
      <c r="B879" s="64"/>
      <c r="C879" s="64"/>
      <c r="D879" s="64"/>
      <c r="E879" s="64"/>
      <c r="F879" s="64"/>
      <c r="G879" s="64"/>
      <c r="H879" s="64"/>
      <c r="I879" s="67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 ht="12.75" customHeight="1">
      <c r="A880" s="64"/>
      <c r="B880" s="64"/>
      <c r="C880" s="64"/>
      <c r="D880" s="64"/>
      <c r="E880" s="64"/>
      <c r="F880" s="64"/>
      <c r="G880" s="64"/>
      <c r="H880" s="64"/>
      <c r="I880" s="67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 ht="12.75" customHeight="1">
      <c r="A881" s="64"/>
      <c r="B881" s="64"/>
      <c r="C881" s="64"/>
      <c r="D881" s="64"/>
      <c r="E881" s="64"/>
      <c r="F881" s="64"/>
      <c r="G881" s="64"/>
      <c r="H881" s="64"/>
      <c r="I881" s="67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 ht="12.75" customHeight="1">
      <c r="A882" s="64"/>
      <c r="B882" s="64"/>
      <c r="C882" s="64"/>
      <c r="D882" s="64"/>
      <c r="E882" s="64"/>
      <c r="F882" s="64"/>
      <c r="G882" s="64"/>
      <c r="H882" s="64"/>
      <c r="I882" s="67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 ht="12.75" customHeight="1">
      <c r="A883" s="64"/>
      <c r="B883" s="64"/>
      <c r="C883" s="64"/>
      <c r="D883" s="64"/>
      <c r="E883" s="64"/>
      <c r="F883" s="64"/>
      <c r="G883" s="64"/>
      <c r="H883" s="64"/>
      <c r="I883" s="67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 ht="12.75" customHeight="1">
      <c r="A884" s="64"/>
      <c r="B884" s="64"/>
      <c r="C884" s="64"/>
      <c r="D884" s="64"/>
      <c r="E884" s="64"/>
      <c r="F884" s="64"/>
      <c r="G884" s="64"/>
      <c r="H884" s="64"/>
      <c r="I884" s="67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 ht="12.75" customHeight="1">
      <c r="A885" s="64"/>
      <c r="B885" s="64"/>
      <c r="C885" s="64"/>
      <c r="D885" s="64"/>
      <c r="E885" s="64"/>
      <c r="F885" s="64"/>
      <c r="G885" s="64"/>
      <c r="H885" s="64"/>
      <c r="I885" s="67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 ht="12.75" customHeight="1">
      <c r="A886" s="64"/>
      <c r="B886" s="64"/>
      <c r="C886" s="64"/>
      <c r="D886" s="64"/>
      <c r="E886" s="64"/>
      <c r="F886" s="64"/>
      <c r="G886" s="64"/>
      <c r="H886" s="64"/>
      <c r="I886" s="67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 ht="12.75" customHeight="1">
      <c r="A887" s="64"/>
      <c r="B887" s="64"/>
      <c r="C887" s="64"/>
      <c r="D887" s="64"/>
      <c r="E887" s="64"/>
      <c r="F887" s="64"/>
      <c r="G887" s="64"/>
      <c r="H887" s="64"/>
      <c r="I887" s="67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 ht="12.75" customHeight="1">
      <c r="A888" s="64"/>
      <c r="B888" s="64"/>
      <c r="C888" s="64"/>
      <c r="D888" s="64"/>
      <c r="E888" s="64"/>
      <c r="F888" s="64"/>
      <c r="G888" s="64"/>
      <c r="H888" s="64"/>
      <c r="I888" s="67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 ht="12.75" customHeight="1">
      <c r="A889" s="64"/>
      <c r="B889" s="64"/>
      <c r="C889" s="64"/>
      <c r="D889" s="64"/>
      <c r="E889" s="64"/>
      <c r="F889" s="64"/>
      <c r="G889" s="64"/>
      <c r="H889" s="64"/>
      <c r="I889" s="67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 ht="12.75" customHeight="1">
      <c r="A890" s="64"/>
      <c r="B890" s="64"/>
      <c r="C890" s="64"/>
      <c r="D890" s="64"/>
      <c r="E890" s="64"/>
      <c r="F890" s="64"/>
      <c r="G890" s="64"/>
      <c r="H890" s="64"/>
      <c r="I890" s="67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 ht="12.75" customHeight="1">
      <c r="A891" s="64"/>
      <c r="B891" s="64"/>
      <c r="C891" s="64"/>
      <c r="D891" s="64"/>
      <c r="E891" s="64"/>
      <c r="F891" s="64"/>
      <c r="G891" s="64"/>
      <c r="H891" s="64"/>
      <c r="I891" s="67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 ht="12.75" customHeight="1">
      <c r="A892" s="64"/>
      <c r="B892" s="64"/>
      <c r="C892" s="64"/>
      <c r="D892" s="64"/>
      <c r="E892" s="64"/>
      <c r="F892" s="64"/>
      <c r="G892" s="64"/>
      <c r="H892" s="64"/>
      <c r="I892" s="67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 ht="12.75" customHeight="1">
      <c r="A893" s="64"/>
      <c r="B893" s="64"/>
      <c r="C893" s="64"/>
      <c r="D893" s="64"/>
      <c r="E893" s="64"/>
      <c r="F893" s="64"/>
      <c r="G893" s="64"/>
      <c r="H893" s="64"/>
      <c r="I893" s="67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 ht="12.75" customHeight="1">
      <c r="A894" s="64"/>
      <c r="B894" s="64"/>
      <c r="C894" s="64"/>
      <c r="D894" s="64"/>
      <c r="E894" s="64"/>
      <c r="F894" s="64"/>
      <c r="G894" s="64"/>
      <c r="H894" s="64"/>
      <c r="I894" s="67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 ht="12.75" customHeight="1">
      <c r="A895" s="64"/>
      <c r="B895" s="64"/>
      <c r="C895" s="64"/>
      <c r="D895" s="64"/>
      <c r="E895" s="64"/>
      <c r="F895" s="64"/>
      <c r="G895" s="64"/>
      <c r="H895" s="64"/>
      <c r="I895" s="67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 ht="12.75" customHeight="1">
      <c r="A896" s="64"/>
      <c r="B896" s="64"/>
      <c r="C896" s="64"/>
      <c r="D896" s="64"/>
      <c r="E896" s="64"/>
      <c r="F896" s="64"/>
      <c r="G896" s="64"/>
      <c r="H896" s="64"/>
      <c r="I896" s="67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 ht="12.75" customHeight="1">
      <c r="A897" s="64"/>
      <c r="B897" s="64"/>
      <c r="C897" s="64"/>
      <c r="D897" s="64"/>
      <c r="E897" s="64"/>
      <c r="F897" s="64"/>
      <c r="G897" s="64"/>
      <c r="H897" s="64"/>
      <c r="I897" s="67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 ht="12.75" customHeight="1">
      <c r="A898" s="64"/>
      <c r="B898" s="64"/>
      <c r="C898" s="64"/>
      <c r="D898" s="64"/>
      <c r="E898" s="64"/>
      <c r="F898" s="64"/>
      <c r="G898" s="64"/>
      <c r="H898" s="64"/>
      <c r="I898" s="67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 ht="12.75" customHeight="1">
      <c r="A899" s="64"/>
      <c r="B899" s="64"/>
      <c r="C899" s="64"/>
      <c r="D899" s="64"/>
      <c r="E899" s="64"/>
      <c r="F899" s="64"/>
      <c r="G899" s="64"/>
      <c r="H899" s="64"/>
      <c r="I899" s="67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 ht="12.75" customHeight="1">
      <c r="A900" s="64"/>
      <c r="B900" s="64"/>
      <c r="C900" s="64"/>
      <c r="D900" s="64"/>
      <c r="E900" s="64"/>
      <c r="F900" s="64"/>
      <c r="G900" s="64"/>
      <c r="H900" s="64"/>
      <c r="I900" s="67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 ht="12.75" customHeight="1">
      <c r="A901" s="64"/>
      <c r="B901" s="64"/>
      <c r="C901" s="64"/>
      <c r="D901" s="64"/>
      <c r="E901" s="64"/>
      <c r="F901" s="64"/>
      <c r="G901" s="64"/>
      <c r="H901" s="64"/>
      <c r="I901" s="67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 ht="12.75" customHeight="1">
      <c r="A902" s="64"/>
      <c r="B902" s="64"/>
      <c r="C902" s="64"/>
      <c r="D902" s="64"/>
      <c r="E902" s="64"/>
      <c r="F902" s="64"/>
      <c r="G902" s="64"/>
      <c r="H902" s="64"/>
      <c r="I902" s="67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 ht="12.75" customHeight="1">
      <c r="A903" s="64"/>
      <c r="B903" s="64"/>
      <c r="C903" s="64"/>
      <c r="D903" s="64"/>
      <c r="E903" s="64"/>
      <c r="F903" s="64"/>
      <c r="G903" s="64"/>
      <c r="H903" s="64"/>
      <c r="I903" s="67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 ht="12.75" customHeight="1">
      <c r="A904" s="64"/>
      <c r="B904" s="64"/>
      <c r="C904" s="64"/>
      <c r="D904" s="64"/>
      <c r="E904" s="64"/>
      <c r="F904" s="64"/>
      <c r="G904" s="64"/>
      <c r="H904" s="64"/>
      <c r="I904" s="67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 ht="12.75" customHeight="1">
      <c r="A905" s="64"/>
      <c r="B905" s="64"/>
      <c r="C905" s="64"/>
      <c r="D905" s="64"/>
      <c r="E905" s="64"/>
      <c r="F905" s="64"/>
      <c r="G905" s="64"/>
      <c r="H905" s="64"/>
      <c r="I905" s="67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 ht="12.75" customHeight="1">
      <c r="A906" s="64"/>
      <c r="B906" s="64"/>
      <c r="C906" s="64"/>
      <c r="D906" s="64"/>
      <c r="E906" s="64"/>
      <c r="F906" s="64"/>
      <c r="G906" s="64"/>
      <c r="H906" s="64"/>
      <c r="I906" s="67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 ht="12.75" customHeight="1">
      <c r="A907" s="64"/>
      <c r="B907" s="64"/>
      <c r="C907" s="64"/>
      <c r="D907" s="64"/>
      <c r="E907" s="64"/>
      <c r="F907" s="64"/>
      <c r="G907" s="64"/>
      <c r="H907" s="64"/>
      <c r="I907" s="67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 ht="12.75" customHeight="1">
      <c r="A908" s="64"/>
      <c r="B908" s="64"/>
      <c r="C908" s="64"/>
      <c r="D908" s="64"/>
      <c r="E908" s="64"/>
      <c r="F908" s="64"/>
      <c r="G908" s="64"/>
      <c r="H908" s="64"/>
      <c r="I908" s="67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 ht="12.75" customHeight="1">
      <c r="A909" s="64"/>
      <c r="B909" s="64"/>
      <c r="C909" s="64"/>
      <c r="D909" s="64"/>
      <c r="E909" s="64"/>
      <c r="F909" s="64"/>
      <c r="G909" s="64"/>
      <c r="H909" s="64"/>
      <c r="I909" s="67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 ht="12.75" customHeight="1">
      <c r="A910" s="64"/>
      <c r="B910" s="64"/>
      <c r="C910" s="64"/>
      <c r="D910" s="64"/>
      <c r="E910" s="64"/>
      <c r="F910" s="64"/>
      <c r="G910" s="64"/>
      <c r="H910" s="64"/>
      <c r="I910" s="67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 ht="12.75" customHeight="1">
      <c r="A911" s="64"/>
      <c r="B911" s="64"/>
      <c r="C911" s="64"/>
      <c r="D911" s="64"/>
      <c r="E911" s="64"/>
      <c r="F911" s="64"/>
      <c r="G911" s="64"/>
      <c r="H911" s="64"/>
      <c r="I911" s="67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 ht="12.75" customHeight="1">
      <c r="A912" s="64"/>
      <c r="B912" s="64"/>
      <c r="C912" s="64"/>
      <c r="D912" s="64"/>
      <c r="E912" s="64"/>
      <c r="F912" s="64"/>
      <c r="G912" s="64"/>
      <c r="H912" s="64"/>
      <c r="I912" s="67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 ht="12.75" customHeight="1">
      <c r="A913" s="64"/>
      <c r="B913" s="64"/>
      <c r="C913" s="64"/>
      <c r="D913" s="64"/>
      <c r="E913" s="64"/>
      <c r="F913" s="64"/>
      <c r="G913" s="64"/>
      <c r="H913" s="64"/>
      <c r="I913" s="67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 ht="12.75" customHeight="1">
      <c r="A914" s="64"/>
      <c r="B914" s="64"/>
      <c r="C914" s="64"/>
      <c r="D914" s="64"/>
      <c r="E914" s="64"/>
      <c r="F914" s="64"/>
      <c r="G914" s="64"/>
      <c r="H914" s="64"/>
      <c r="I914" s="67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 ht="12.75" customHeight="1">
      <c r="A915" s="64"/>
      <c r="B915" s="64"/>
      <c r="C915" s="64"/>
      <c r="D915" s="64"/>
      <c r="E915" s="64"/>
      <c r="F915" s="64"/>
      <c r="G915" s="64"/>
      <c r="H915" s="64"/>
      <c r="I915" s="67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 ht="12.75" customHeight="1">
      <c r="A916" s="64"/>
      <c r="B916" s="64"/>
      <c r="C916" s="64"/>
      <c r="D916" s="64"/>
      <c r="E916" s="64"/>
      <c r="F916" s="64"/>
      <c r="G916" s="64"/>
      <c r="H916" s="64"/>
      <c r="I916" s="67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 ht="12.75" customHeight="1">
      <c r="A917" s="64"/>
      <c r="B917" s="64"/>
      <c r="C917" s="64"/>
      <c r="D917" s="64"/>
      <c r="E917" s="64"/>
      <c r="F917" s="64"/>
      <c r="G917" s="64"/>
      <c r="H917" s="64"/>
      <c r="I917" s="67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 ht="12.75" customHeight="1">
      <c r="A918" s="64"/>
      <c r="B918" s="64"/>
      <c r="C918" s="64"/>
      <c r="D918" s="64"/>
      <c r="E918" s="64"/>
      <c r="F918" s="64"/>
      <c r="G918" s="64"/>
      <c r="H918" s="64"/>
      <c r="I918" s="67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 ht="12.75" customHeight="1">
      <c r="A919" s="64"/>
      <c r="B919" s="64"/>
      <c r="C919" s="64"/>
      <c r="D919" s="64"/>
      <c r="E919" s="64"/>
      <c r="F919" s="64"/>
      <c r="G919" s="64"/>
      <c r="H919" s="64"/>
      <c r="I919" s="67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 ht="12.75" customHeight="1">
      <c r="A920" s="64"/>
      <c r="B920" s="64"/>
      <c r="C920" s="64"/>
      <c r="D920" s="64"/>
      <c r="E920" s="64"/>
      <c r="F920" s="64"/>
      <c r="G920" s="64"/>
      <c r="H920" s="64"/>
      <c r="I920" s="67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 ht="12.75" customHeight="1">
      <c r="A921" s="64"/>
      <c r="B921" s="64"/>
      <c r="C921" s="64"/>
      <c r="D921" s="64"/>
      <c r="E921" s="64"/>
      <c r="F921" s="64"/>
      <c r="G921" s="64"/>
      <c r="H921" s="64"/>
      <c r="I921" s="67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 ht="12.75" customHeight="1">
      <c r="A922" s="64"/>
      <c r="B922" s="64"/>
      <c r="C922" s="64"/>
      <c r="D922" s="64"/>
      <c r="E922" s="64"/>
      <c r="F922" s="64"/>
      <c r="G922" s="64"/>
      <c r="H922" s="64"/>
      <c r="I922" s="67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 ht="12.75" customHeight="1">
      <c r="A923" s="64"/>
      <c r="B923" s="64"/>
      <c r="C923" s="64"/>
      <c r="D923" s="64"/>
      <c r="E923" s="64"/>
      <c r="F923" s="64"/>
      <c r="G923" s="64"/>
      <c r="H923" s="64"/>
      <c r="I923" s="67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 ht="12.75" customHeight="1">
      <c r="A924" s="64"/>
      <c r="B924" s="64"/>
      <c r="C924" s="64"/>
      <c r="D924" s="64"/>
      <c r="E924" s="64"/>
      <c r="F924" s="64"/>
      <c r="G924" s="64"/>
      <c r="H924" s="64"/>
      <c r="I924" s="67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 ht="12.75" customHeight="1">
      <c r="A925" s="64"/>
      <c r="B925" s="64"/>
      <c r="C925" s="64"/>
      <c r="D925" s="64"/>
      <c r="E925" s="64"/>
      <c r="F925" s="64"/>
      <c r="G925" s="64"/>
      <c r="H925" s="64"/>
      <c r="I925" s="67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 ht="12.75" customHeight="1">
      <c r="A926" s="64"/>
      <c r="B926" s="64"/>
      <c r="C926" s="64"/>
      <c r="D926" s="64"/>
      <c r="E926" s="64"/>
      <c r="F926" s="64"/>
      <c r="G926" s="64"/>
      <c r="H926" s="64"/>
      <c r="I926" s="67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 ht="12.75" customHeight="1">
      <c r="A927" s="64"/>
      <c r="B927" s="64"/>
      <c r="C927" s="64"/>
      <c r="D927" s="64"/>
      <c r="E927" s="64"/>
      <c r="F927" s="64"/>
      <c r="G927" s="64"/>
      <c r="H927" s="64"/>
      <c r="I927" s="67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 ht="12.75" customHeight="1">
      <c r="A928" s="64"/>
      <c r="B928" s="64"/>
      <c r="C928" s="64"/>
      <c r="D928" s="64"/>
      <c r="E928" s="64"/>
      <c r="F928" s="64"/>
      <c r="G928" s="64"/>
      <c r="H928" s="64"/>
      <c r="I928" s="67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 ht="12.75" customHeight="1">
      <c r="A929" s="64"/>
      <c r="B929" s="64"/>
      <c r="C929" s="64"/>
      <c r="D929" s="64"/>
      <c r="E929" s="64"/>
      <c r="F929" s="64"/>
      <c r="G929" s="64"/>
      <c r="H929" s="64"/>
      <c r="I929" s="67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 ht="12.75" customHeight="1">
      <c r="A930" s="64"/>
      <c r="B930" s="64"/>
      <c r="C930" s="64"/>
      <c r="D930" s="64"/>
      <c r="E930" s="64"/>
      <c r="F930" s="64"/>
      <c r="G930" s="64"/>
      <c r="H930" s="64"/>
      <c r="I930" s="67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 ht="12.75" customHeight="1">
      <c r="A931" s="64"/>
      <c r="B931" s="64"/>
      <c r="C931" s="64"/>
      <c r="D931" s="64"/>
      <c r="E931" s="64"/>
      <c r="F931" s="64"/>
      <c r="G931" s="64"/>
      <c r="H931" s="64"/>
      <c r="I931" s="67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 ht="12.75" customHeight="1">
      <c r="A932" s="64"/>
      <c r="B932" s="64"/>
      <c r="C932" s="64"/>
      <c r="D932" s="64"/>
      <c r="E932" s="64"/>
      <c r="F932" s="64"/>
      <c r="G932" s="64"/>
      <c r="H932" s="64"/>
      <c r="I932" s="67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 ht="12.75" customHeight="1">
      <c r="A933" s="64"/>
      <c r="B933" s="64"/>
      <c r="C933" s="64"/>
      <c r="D933" s="64"/>
      <c r="E933" s="64"/>
      <c r="F933" s="64"/>
      <c r="G933" s="64"/>
      <c r="H933" s="64"/>
      <c r="I933" s="67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 ht="12.75" customHeight="1">
      <c r="A934" s="64"/>
      <c r="B934" s="64"/>
      <c r="C934" s="64"/>
      <c r="D934" s="64"/>
      <c r="E934" s="64"/>
      <c r="F934" s="64"/>
      <c r="G934" s="64"/>
      <c r="H934" s="64"/>
      <c r="I934" s="67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 ht="12.75" customHeight="1">
      <c r="A935" s="64"/>
      <c r="B935" s="64"/>
      <c r="C935" s="64"/>
      <c r="D935" s="64"/>
      <c r="E935" s="64"/>
      <c r="F935" s="64"/>
      <c r="G935" s="64"/>
      <c r="H935" s="64"/>
      <c r="I935" s="67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 ht="12.75" customHeight="1">
      <c r="A936" s="64"/>
      <c r="B936" s="64"/>
      <c r="C936" s="64"/>
      <c r="D936" s="64"/>
      <c r="E936" s="64"/>
      <c r="F936" s="64"/>
      <c r="G936" s="64"/>
      <c r="H936" s="64"/>
      <c r="I936" s="67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 ht="12.75" customHeight="1">
      <c r="A937" s="64"/>
      <c r="B937" s="64"/>
      <c r="C937" s="64"/>
      <c r="D937" s="64"/>
      <c r="E937" s="64"/>
      <c r="F937" s="64"/>
      <c r="G937" s="64"/>
      <c r="H937" s="64"/>
      <c r="I937" s="67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 ht="12.75" customHeight="1">
      <c r="A938" s="64"/>
      <c r="B938" s="64"/>
      <c r="C938" s="64"/>
      <c r="D938" s="64"/>
      <c r="E938" s="64"/>
      <c r="F938" s="64"/>
      <c r="G938" s="64"/>
      <c r="H938" s="64"/>
      <c r="I938" s="67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 ht="12.75" customHeight="1">
      <c r="A939" s="64"/>
      <c r="B939" s="64"/>
      <c r="C939" s="64"/>
      <c r="D939" s="64"/>
      <c r="E939" s="64"/>
      <c r="F939" s="64"/>
      <c r="G939" s="64"/>
      <c r="H939" s="64"/>
      <c r="I939" s="67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 ht="12.75" customHeight="1">
      <c r="A940" s="64"/>
      <c r="B940" s="64"/>
      <c r="C940" s="64"/>
      <c r="D940" s="64"/>
      <c r="E940" s="64"/>
      <c r="F940" s="64"/>
      <c r="G940" s="64"/>
      <c r="H940" s="64"/>
      <c r="I940" s="67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 ht="12.75" customHeight="1">
      <c r="A941" s="64"/>
      <c r="B941" s="64"/>
      <c r="C941" s="64"/>
      <c r="D941" s="64"/>
      <c r="E941" s="64"/>
      <c r="F941" s="64"/>
      <c r="G941" s="64"/>
      <c r="H941" s="64"/>
      <c r="I941" s="67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 ht="12.75" customHeight="1">
      <c r="A942" s="64"/>
      <c r="B942" s="64"/>
      <c r="C942" s="64"/>
      <c r="D942" s="64"/>
      <c r="E942" s="64"/>
      <c r="F942" s="64"/>
      <c r="G942" s="64"/>
      <c r="H942" s="64"/>
      <c r="I942" s="67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 ht="12.75" customHeight="1">
      <c r="A943" s="64"/>
      <c r="B943" s="64"/>
      <c r="C943" s="64"/>
      <c r="D943" s="64"/>
      <c r="E943" s="64"/>
      <c r="F943" s="64"/>
      <c r="G943" s="64"/>
      <c r="H943" s="64"/>
      <c r="I943" s="67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 ht="12.75" customHeight="1">
      <c r="A944" s="64"/>
      <c r="B944" s="64"/>
      <c r="C944" s="64"/>
      <c r="D944" s="64"/>
      <c r="E944" s="64"/>
      <c r="F944" s="64"/>
      <c r="G944" s="64"/>
      <c r="H944" s="64"/>
      <c r="I944" s="67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 ht="12.75" customHeight="1">
      <c r="A945" s="64"/>
      <c r="B945" s="64"/>
      <c r="C945" s="64"/>
      <c r="D945" s="64"/>
      <c r="E945" s="64"/>
      <c r="F945" s="64"/>
      <c r="G945" s="64"/>
      <c r="H945" s="64"/>
      <c r="I945" s="67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 ht="12.75" customHeight="1">
      <c r="A946" s="64"/>
      <c r="B946" s="64"/>
      <c r="C946" s="64"/>
      <c r="D946" s="64"/>
      <c r="E946" s="64"/>
      <c r="F946" s="64"/>
      <c r="G946" s="64"/>
      <c r="H946" s="64"/>
      <c r="I946" s="67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 ht="12.75" customHeight="1">
      <c r="A947" s="64"/>
      <c r="B947" s="64"/>
      <c r="C947" s="64"/>
      <c r="D947" s="64"/>
      <c r="E947" s="64"/>
      <c r="F947" s="64"/>
      <c r="G947" s="64"/>
      <c r="H947" s="64"/>
      <c r="I947" s="67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 ht="12.75" customHeight="1">
      <c r="A948" s="64"/>
      <c r="B948" s="64"/>
      <c r="C948" s="64"/>
      <c r="D948" s="64"/>
      <c r="E948" s="64"/>
      <c r="F948" s="64"/>
      <c r="G948" s="64"/>
      <c r="H948" s="64"/>
      <c r="I948" s="67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 ht="12.75" customHeight="1">
      <c r="A949" s="64"/>
      <c r="B949" s="64"/>
      <c r="C949" s="64"/>
      <c r="D949" s="64"/>
      <c r="E949" s="64"/>
      <c r="F949" s="64"/>
      <c r="G949" s="64"/>
      <c r="H949" s="64"/>
      <c r="I949" s="67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 ht="12.75" customHeight="1">
      <c r="A950" s="64"/>
      <c r="B950" s="64"/>
      <c r="C950" s="64"/>
      <c r="D950" s="64"/>
      <c r="E950" s="64"/>
      <c r="F950" s="64"/>
      <c r="G950" s="64"/>
      <c r="H950" s="64"/>
      <c r="I950" s="67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 ht="12.75" customHeight="1">
      <c r="A951" s="64"/>
      <c r="B951" s="64"/>
      <c r="C951" s="64"/>
      <c r="D951" s="64"/>
      <c r="E951" s="64"/>
      <c r="F951" s="64"/>
      <c r="G951" s="64"/>
      <c r="H951" s="64"/>
      <c r="I951" s="67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 ht="12.75" customHeight="1">
      <c r="A952" s="64"/>
      <c r="B952" s="64"/>
      <c r="C952" s="64"/>
      <c r="D952" s="64"/>
      <c r="E952" s="64"/>
      <c r="F952" s="64"/>
      <c r="G952" s="64"/>
      <c r="H952" s="64"/>
      <c r="I952" s="67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 ht="12.75" customHeight="1">
      <c r="A953" s="64"/>
      <c r="B953" s="64"/>
      <c r="C953" s="64"/>
      <c r="D953" s="64"/>
      <c r="E953" s="64"/>
      <c r="F953" s="64"/>
      <c r="G953" s="64"/>
      <c r="H953" s="64"/>
      <c r="I953" s="67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 ht="12.75" customHeight="1">
      <c r="A954" s="64"/>
      <c r="B954" s="64"/>
      <c r="C954" s="64"/>
      <c r="D954" s="64"/>
      <c r="E954" s="64"/>
      <c r="F954" s="64"/>
      <c r="G954" s="64"/>
      <c r="H954" s="64"/>
      <c r="I954" s="67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 ht="12.75" customHeight="1">
      <c r="A955" s="64"/>
      <c r="B955" s="64"/>
      <c r="C955" s="64"/>
      <c r="D955" s="64"/>
      <c r="E955" s="64"/>
      <c r="F955" s="64"/>
      <c r="G955" s="64"/>
      <c r="H955" s="64"/>
      <c r="I955" s="67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 ht="12.75" customHeight="1">
      <c r="A956" s="64"/>
      <c r="B956" s="64"/>
      <c r="C956" s="64"/>
      <c r="D956" s="64"/>
      <c r="E956" s="64"/>
      <c r="F956" s="64"/>
      <c r="G956" s="64"/>
      <c r="H956" s="64"/>
      <c r="I956" s="67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 ht="12.75" customHeight="1">
      <c r="A957" s="64"/>
      <c r="B957" s="64"/>
      <c r="C957" s="64"/>
      <c r="D957" s="64"/>
      <c r="E957" s="64"/>
      <c r="F957" s="64"/>
      <c r="G957" s="64"/>
      <c r="H957" s="64"/>
      <c r="I957" s="67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 ht="12.75" customHeight="1">
      <c r="A958" s="64"/>
      <c r="B958" s="64"/>
      <c r="C958" s="64"/>
      <c r="D958" s="64"/>
      <c r="E958" s="64"/>
      <c r="F958" s="64"/>
      <c r="G958" s="64"/>
      <c r="H958" s="64"/>
      <c r="I958" s="67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 ht="12.75" customHeight="1">
      <c r="A959" s="64"/>
      <c r="B959" s="64"/>
      <c r="C959" s="64"/>
      <c r="D959" s="64"/>
      <c r="E959" s="64"/>
      <c r="F959" s="64"/>
      <c r="G959" s="64"/>
      <c r="H959" s="64"/>
      <c r="I959" s="67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 ht="12.75" customHeight="1">
      <c r="A960" s="64"/>
      <c r="B960" s="64"/>
      <c r="C960" s="64"/>
      <c r="D960" s="64"/>
      <c r="E960" s="64"/>
      <c r="F960" s="64"/>
      <c r="G960" s="64"/>
      <c r="H960" s="64"/>
      <c r="I960" s="67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 ht="12.75" customHeight="1">
      <c r="A961" s="64"/>
      <c r="B961" s="64"/>
      <c r="C961" s="64"/>
      <c r="D961" s="64"/>
      <c r="E961" s="64"/>
      <c r="F961" s="64"/>
      <c r="G961" s="64"/>
      <c r="H961" s="64"/>
      <c r="I961" s="67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 ht="12.75" customHeight="1">
      <c r="A962" s="64"/>
      <c r="B962" s="64"/>
      <c r="C962" s="64"/>
      <c r="D962" s="64"/>
      <c r="E962" s="64"/>
      <c r="F962" s="64"/>
      <c r="G962" s="64"/>
      <c r="H962" s="64"/>
      <c r="I962" s="67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 ht="12.75" customHeight="1">
      <c r="A963" s="64"/>
      <c r="B963" s="64"/>
      <c r="C963" s="64"/>
      <c r="D963" s="64"/>
      <c r="E963" s="64"/>
      <c r="F963" s="64"/>
      <c r="G963" s="64"/>
      <c r="H963" s="64"/>
      <c r="I963" s="67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 ht="12.75" customHeight="1">
      <c r="A964" s="64"/>
      <c r="B964" s="64"/>
      <c r="C964" s="64"/>
      <c r="D964" s="64"/>
      <c r="E964" s="64"/>
      <c r="F964" s="64"/>
      <c r="G964" s="64"/>
      <c r="H964" s="64"/>
      <c r="I964" s="67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 ht="12.75" customHeight="1">
      <c r="A965" s="64"/>
      <c r="B965" s="64"/>
      <c r="C965" s="64"/>
      <c r="D965" s="64"/>
      <c r="E965" s="64"/>
      <c r="F965" s="64"/>
      <c r="G965" s="64"/>
      <c r="H965" s="64"/>
      <c r="I965" s="67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 ht="12.75" customHeight="1">
      <c r="A966" s="64"/>
      <c r="B966" s="64"/>
      <c r="C966" s="64"/>
      <c r="D966" s="64"/>
      <c r="E966" s="64"/>
      <c r="F966" s="64"/>
      <c r="G966" s="64"/>
      <c r="H966" s="64"/>
      <c r="I966" s="67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 ht="12.75" customHeight="1">
      <c r="A967" s="64"/>
      <c r="B967" s="64"/>
      <c r="C967" s="64"/>
      <c r="D967" s="64"/>
      <c r="E967" s="64"/>
      <c r="F967" s="64"/>
      <c r="G967" s="64"/>
      <c r="H967" s="64"/>
      <c r="I967" s="67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 ht="12.75" customHeight="1">
      <c r="A968" s="64"/>
      <c r="B968" s="64"/>
      <c r="C968" s="64"/>
      <c r="D968" s="64"/>
      <c r="E968" s="64"/>
      <c r="F968" s="64"/>
      <c r="G968" s="64"/>
      <c r="H968" s="64"/>
      <c r="I968" s="67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 ht="12.75" customHeight="1">
      <c r="A969" s="64"/>
      <c r="B969" s="64"/>
      <c r="C969" s="64"/>
      <c r="D969" s="64"/>
      <c r="E969" s="64"/>
      <c r="F969" s="64"/>
      <c r="G969" s="64"/>
      <c r="H969" s="64"/>
      <c r="I969" s="67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 ht="12.75" customHeight="1">
      <c r="A970" s="64"/>
      <c r="B970" s="64"/>
      <c r="C970" s="64"/>
      <c r="D970" s="64"/>
      <c r="E970" s="64"/>
      <c r="F970" s="64"/>
      <c r="G970" s="64"/>
      <c r="H970" s="64"/>
      <c r="I970" s="67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 ht="12.75" customHeight="1">
      <c r="A971" s="64"/>
      <c r="B971" s="64"/>
      <c r="C971" s="64"/>
      <c r="D971" s="64"/>
      <c r="E971" s="64"/>
      <c r="F971" s="64"/>
      <c r="G971" s="64"/>
      <c r="H971" s="64"/>
      <c r="I971" s="67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 ht="12.75" customHeight="1">
      <c r="A972" s="64"/>
      <c r="B972" s="64"/>
      <c r="C972" s="64"/>
      <c r="D972" s="64"/>
      <c r="E972" s="64"/>
      <c r="F972" s="64"/>
      <c r="G972" s="64"/>
      <c r="H972" s="64"/>
      <c r="I972" s="67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 ht="12.75" customHeight="1">
      <c r="A973" s="64"/>
      <c r="B973" s="64"/>
      <c r="C973" s="64"/>
      <c r="D973" s="64"/>
      <c r="E973" s="64"/>
      <c r="F973" s="64"/>
      <c r="G973" s="64"/>
      <c r="H973" s="64"/>
      <c r="I973" s="67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 ht="12.75" customHeight="1">
      <c r="A974" s="64"/>
      <c r="B974" s="64"/>
      <c r="C974" s="64"/>
      <c r="D974" s="64"/>
      <c r="E974" s="64"/>
      <c r="F974" s="64"/>
      <c r="G974" s="64"/>
      <c r="H974" s="64"/>
      <c r="I974" s="67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 ht="12.75" customHeight="1">
      <c r="A975" s="64"/>
      <c r="B975" s="64"/>
      <c r="C975" s="64"/>
      <c r="D975" s="64"/>
      <c r="E975" s="64"/>
      <c r="F975" s="64"/>
      <c r="G975" s="64"/>
      <c r="H975" s="64"/>
      <c r="I975" s="67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 ht="12.75" customHeight="1">
      <c r="A976" s="64"/>
      <c r="B976" s="64"/>
      <c r="C976" s="64"/>
      <c r="D976" s="64"/>
      <c r="E976" s="64"/>
      <c r="F976" s="64"/>
      <c r="G976" s="64"/>
      <c r="H976" s="64"/>
      <c r="I976" s="67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 ht="12.75" customHeight="1">
      <c r="A977" s="64"/>
      <c r="B977" s="64"/>
      <c r="C977" s="64"/>
      <c r="D977" s="64"/>
      <c r="E977" s="64"/>
      <c r="F977" s="64"/>
      <c r="G977" s="64"/>
      <c r="H977" s="64"/>
      <c r="I977" s="67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 ht="12.75" customHeight="1">
      <c r="A978" s="64"/>
      <c r="B978" s="64"/>
      <c r="C978" s="64"/>
      <c r="D978" s="64"/>
      <c r="E978" s="64"/>
      <c r="F978" s="64"/>
      <c r="G978" s="64"/>
      <c r="H978" s="64"/>
      <c r="I978" s="67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 ht="12.75" customHeight="1">
      <c r="A979" s="64"/>
      <c r="B979" s="64"/>
      <c r="C979" s="64"/>
      <c r="D979" s="64"/>
      <c r="E979" s="64"/>
      <c r="F979" s="64"/>
      <c r="G979" s="64"/>
      <c r="H979" s="64"/>
      <c r="I979" s="67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 ht="12.75" customHeight="1">
      <c r="A980" s="64"/>
      <c r="B980" s="64"/>
      <c r="C980" s="64"/>
      <c r="D980" s="64"/>
      <c r="E980" s="64"/>
      <c r="F980" s="64"/>
      <c r="G980" s="64"/>
      <c r="H980" s="64"/>
      <c r="I980" s="67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 ht="12.75" customHeight="1">
      <c r="A981" s="64"/>
      <c r="B981" s="64"/>
      <c r="C981" s="64"/>
      <c r="D981" s="64"/>
      <c r="E981" s="64"/>
      <c r="F981" s="64"/>
      <c r="G981" s="64"/>
      <c r="H981" s="64"/>
      <c r="I981" s="67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 ht="12.75" customHeight="1">
      <c r="A982" s="64"/>
      <c r="B982" s="64"/>
      <c r="C982" s="64"/>
      <c r="D982" s="64"/>
      <c r="E982" s="64"/>
      <c r="F982" s="64"/>
      <c r="G982" s="64"/>
      <c r="H982" s="64"/>
      <c r="I982" s="67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 ht="12.75" customHeight="1">
      <c r="A983" s="64"/>
      <c r="B983" s="64"/>
      <c r="C983" s="64"/>
      <c r="D983" s="64"/>
      <c r="E983" s="64"/>
      <c r="F983" s="64"/>
      <c r="G983" s="64"/>
      <c r="H983" s="64"/>
      <c r="I983" s="67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 ht="12.75" customHeight="1">
      <c r="A984" s="64"/>
      <c r="B984" s="64"/>
      <c r="C984" s="64"/>
      <c r="D984" s="64"/>
      <c r="E984" s="64"/>
      <c r="F984" s="64"/>
      <c r="G984" s="64"/>
      <c r="H984" s="64"/>
      <c r="I984" s="67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 ht="12.75" customHeight="1">
      <c r="A985" s="64"/>
      <c r="B985" s="64"/>
      <c r="C985" s="64"/>
      <c r="D985" s="64"/>
      <c r="E985" s="64"/>
      <c r="F985" s="64"/>
      <c r="G985" s="64"/>
      <c r="H985" s="64"/>
      <c r="I985" s="67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 ht="12.75" customHeight="1">
      <c r="A986" s="64"/>
      <c r="B986" s="64"/>
      <c r="C986" s="64"/>
      <c r="D986" s="64"/>
      <c r="E986" s="64"/>
      <c r="F986" s="64"/>
      <c r="G986" s="64"/>
      <c r="H986" s="64"/>
      <c r="I986" s="67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 ht="12.75" customHeight="1">
      <c r="A987" s="64"/>
      <c r="B987" s="64"/>
      <c r="C987" s="64"/>
      <c r="D987" s="64"/>
      <c r="E987" s="64"/>
      <c r="F987" s="64"/>
      <c r="G987" s="64"/>
      <c r="H987" s="64"/>
      <c r="I987" s="67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 ht="12.75" customHeight="1">
      <c r="A988" s="64"/>
      <c r="B988" s="64"/>
      <c r="C988" s="64"/>
      <c r="D988" s="64"/>
      <c r="E988" s="64"/>
      <c r="F988" s="64"/>
      <c r="G988" s="64"/>
      <c r="H988" s="64"/>
      <c r="I988" s="67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 ht="12.75" customHeight="1">
      <c r="A989" s="64"/>
      <c r="B989" s="64"/>
      <c r="C989" s="64"/>
      <c r="D989" s="64"/>
      <c r="E989" s="64"/>
      <c r="F989" s="64"/>
      <c r="G989" s="64"/>
      <c r="H989" s="64"/>
      <c r="I989" s="67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 ht="12.75" customHeight="1">
      <c r="A990" s="64"/>
      <c r="B990" s="64"/>
      <c r="C990" s="64"/>
      <c r="D990" s="64"/>
      <c r="E990" s="64"/>
      <c r="F990" s="64"/>
      <c r="G990" s="64"/>
      <c r="H990" s="64"/>
      <c r="I990" s="67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 ht="12.75" customHeight="1">
      <c r="A991" s="64"/>
      <c r="B991" s="64"/>
      <c r="C991" s="64"/>
      <c r="D991" s="64"/>
      <c r="E991" s="64"/>
      <c r="F991" s="64"/>
      <c r="G991" s="64"/>
      <c r="H991" s="64"/>
      <c r="I991" s="67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 ht="12.75" customHeight="1">
      <c r="A992" s="64"/>
      <c r="B992" s="64"/>
      <c r="C992" s="64"/>
      <c r="D992" s="64"/>
      <c r="E992" s="64"/>
      <c r="F992" s="64"/>
      <c r="G992" s="64"/>
      <c r="H992" s="64"/>
      <c r="I992" s="67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 ht="12.75" customHeight="1">
      <c r="A993" s="64"/>
      <c r="B993" s="64"/>
      <c r="C993" s="64"/>
      <c r="D993" s="64"/>
      <c r="E993" s="64"/>
      <c r="F993" s="64"/>
      <c r="G993" s="64"/>
      <c r="H993" s="64"/>
      <c r="I993" s="67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 ht="12.75" customHeight="1">
      <c r="A994" s="64"/>
      <c r="B994" s="64"/>
      <c r="C994" s="64"/>
      <c r="D994" s="64"/>
      <c r="E994" s="64"/>
      <c r="F994" s="64"/>
      <c r="G994" s="64"/>
      <c r="H994" s="64"/>
      <c r="I994" s="67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 ht="12.75" customHeight="1">
      <c r="A995" s="64"/>
      <c r="B995" s="64"/>
      <c r="C995" s="64"/>
      <c r="D995" s="64"/>
      <c r="E995" s="64"/>
      <c r="F995" s="64"/>
      <c r="G995" s="64"/>
      <c r="H995" s="64"/>
      <c r="I995" s="67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 ht="12.75" customHeight="1">
      <c r="A996" s="64"/>
      <c r="B996" s="64"/>
      <c r="C996" s="64"/>
      <c r="F996" s="64"/>
      <c r="G996" s="64"/>
      <c r="H996" s="64"/>
      <c r="I996" s="67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 ht="12.75" customHeight="1">
      <c r="A997" s="64"/>
      <c r="B997" s="64"/>
      <c r="C997" s="64"/>
      <c r="F997" s="64"/>
      <c r="G997" s="64"/>
      <c r="H997" s="64"/>
      <c r="I997" s="67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 ht="12.75" customHeight="1">
      <c r="A998" s="64"/>
      <c r="B998" s="64"/>
      <c r="C998" s="64"/>
      <c r="F998" s="64"/>
      <c r="G998" s="64"/>
      <c r="H998" s="64"/>
      <c r="I998" s="67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 ht="12.75" customHeight="1">
      <c r="A999" s="64"/>
      <c r="B999" s="64"/>
      <c r="C999" s="64"/>
      <c r="F999" s="64"/>
      <c r="G999" s="64"/>
      <c r="H999" s="64"/>
      <c r="I999" s="67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 ht="12.75" customHeight="1">
      <c r="A1000" s="64"/>
      <c r="B1000" s="64"/>
      <c r="C1000" s="64"/>
      <c r="F1000" s="64"/>
      <c r="G1000" s="64"/>
      <c r="H1000" s="64"/>
      <c r="I1000" s="67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</sheetData>
  <mergeCells count="5">
    <mergeCell ref="A24:B24"/>
    <mergeCell ref="A25:B25"/>
    <mergeCell ref="A27:B27"/>
    <mergeCell ref="A28:B28"/>
    <mergeCell ref="A30:B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1.43"/>
    <col customWidth="1" min="4" max="4" width="13.14"/>
    <col customWidth="1" min="5" max="5" width="12.14"/>
    <col customWidth="1" min="6" max="26" width="8.71"/>
  </cols>
  <sheetData>
    <row r="1" ht="12.75" customHeight="1">
      <c r="A1" s="79" t="s">
        <v>521</v>
      </c>
      <c r="B1" s="80" t="s">
        <v>522</v>
      </c>
      <c r="C1" s="80" t="s">
        <v>523</v>
      </c>
      <c r="D1" s="80" t="s">
        <v>524</v>
      </c>
      <c r="E1" s="81" t="s">
        <v>525</v>
      </c>
    </row>
    <row r="2" ht="12.75" customHeight="1">
      <c r="A2" s="82" t="s">
        <v>526</v>
      </c>
      <c r="B2" s="28">
        <v>4.5</v>
      </c>
      <c r="C2" s="29">
        <v>2400.0</v>
      </c>
      <c r="D2" s="29">
        <v>0.008</v>
      </c>
      <c r="E2" s="83">
        <v>-1335180.21</v>
      </c>
    </row>
    <row r="3" ht="12.75" customHeight="1">
      <c r="A3" s="82" t="s">
        <v>527</v>
      </c>
      <c r="B3" s="28">
        <v>3.0</v>
      </c>
      <c r="C3" s="29">
        <v>3000.0</v>
      </c>
      <c r="D3" s="29">
        <v>0.0083</v>
      </c>
      <c r="E3" s="83">
        <v>-5345626.11</v>
      </c>
    </row>
    <row r="4" ht="12.75" customHeight="1">
      <c r="A4" s="84" t="s">
        <v>528</v>
      </c>
      <c r="B4" s="32">
        <v>2.0</v>
      </c>
      <c r="C4" s="33">
        <v>3600.0</v>
      </c>
      <c r="D4" s="33">
        <v>0.012</v>
      </c>
      <c r="E4" s="85">
        <v>-9729472.01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